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aeabf61c84c439/Desktop/Actuar_project/"/>
    </mc:Choice>
  </mc:AlternateContent>
  <xr:revisionPtr revIDLastSave="36834" documentId="8_{2BB4C89C-7DC8-4258-8E7D-586F712DAEF5}" xr6:coauthVersionLast="47" xr6:coauthVersionMax="47" xr10:uidLastSave="{9332FBB9-B0ED-4436-B503-A2B3BC225734}"/>
  <bookViews>
    <workbookView xWindow="-108" yWindow="-108" windowWidth="23256" windowHeight="12456" activeTab="2" xr2:uid="{5D57806C-FF20-6B42-9DF8-59469BA0678D}"/>
  </bookViews>
  <sheets>
    <sheet name="2021 Income Statement2" sheetId="4" r:id="rId1"/>
    <sheet name="2021 Income_Original" sheetId="1" r:id="rId2"/>
    <sheet name="Scenarios" sheetId="2" r:id="rId3"/>
  </sheets>
  <externalReferences>
    <externalReference r:id="rId4"/>
  </externalReferences>
  <definedNames>
    <definedName name="calc_lookup">'[1]Scenario Testing'!$C$7:$E$12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4" l="1"/>
  <c r="D12" i="4" s="1"/>
  <c r="E12" i="4" s="1"/>
  <c r="F12" i="4" s="1"/>
  <c r="G12" i="4" s="1"/>
  <c r="N11" i="4"/>
  <c r="D11" i="4" s="1"/>
  <c r="E11" i="4" s="1"/>
  <c r="F11" i="4" s="1"/>
  <c r="G11" i="4" s="1"/>
  <c r="N10" i="4"/>
  <c r="D10" i="4" s="1"/>
  <c r="E10" i="4" s="1"/>
  <c r="F10" i="4" s="1"/>
  <c r="G10" i="4" s="1"/>
  <c r="N9" i="4"/>
  <c r="D9" i="4" s="1"/>
  <c r="E9" i="4" s="1"/>
  <c r="F9" i="4" s="1"/>
  <c r="G9" i="4" s="1"/>
  <c r="N8" i="4"/>
  <c r="D8" i="4" s="1"/>
  <c r="E8" i="4" s="1"/>
  <c r="F8" i="4" s="1"/>
  <c r="G8" i="4" s="1"/>
  <c r="N7" i="4"/>
  <c r="D7" i="4" s="1"/>
  <c r="N5" i="4"/>
  <c r="D5" i="4" s="1"/>
  <c r="E5" i="4" s="1"/>
  <c r="F5" i="4" s="1"/>
  <c r="G5" i="4" s="1"/>
  <c r="N4" i="4"/>
  <c r="D4" i="4" s="1"/>
  <c r="N3" i="4"/>
  <c r="D3" i="4" s="1"/>
  <c r="E7" i="1"/>
  <c r="F7" i="1" s="1"/>
  <c r="G7" i="1" s="1"/>
  <c r="E12" i="1"/>
  <c r="F12" i="1" s="1"/>
  <c r="G12" i="1" s="1"/>
  <c r="D6" i="1"/>
  <c r="G4" i="1"/>
  <c r="G8" i="1"/>
  <c r="G10" i="1"/>
  <c r="G11" i="1"/>
  <c r="F4" i="1"/>
  <c r="F8" i="1"/>
  <c r="F10" i="1"/>
  <c r="F11" i="1"/>
  <c r="G3" i="1"/>
  <c r="F3" i="1"/>
  <c r="E4" i="1"/>
  <c r="E8" i="1"/>
  <c r="E10" i="1"/>
  <c r="E11" i="1"/>
  <c r="E3" i="1"/>
  <c r="D4" i="1"/>
  <c r="D8" i="1"/>
  <c r="D10" i="1"/>
  <c r="D11" i="1"/>
  <c r="D3" i="1"/>
  <c r="N9" i="1"/>
  <c r="D9" i="1" s="1"/>
  <c r="E9" i="1" s="1"/>
  <c r="F9" i="1" s="1"/>
  <c r="G9" i="1" s="1"/>
  <c r="N5" i="1"/>
  <c r="D5" i="1" s="1"/>
  <c r="N12" i="1"/>
  <c r="D12" i="1" s="1"/>
  <c r="N7" i="1"/>
  <c r="D7" i="1" s="1"/>
  <c r="N11" i="1"/>
  <c r="N10" i="1"/>
  <c r="N8" i="1"/>
  <c r="N4" i="1"/>
  <c r="N3" i="1"/>
  <c r="E3" i="4" l="1"/>
  <c r="F3" i="4" s="1"/>
  <c r="E7" i="4"/>
  <c r="D13" i="4"/>
  <c r="D6" i="4"/>
  <c r="E4" i="4"/>
  <c r="D13" i="1"/>
  <c r="D14" i="1"/>
  <c r="E5" i="1"/>
  <c r="F4" i="4" l="1"/>
  <c r="F6" i="4" s="1"/>
  <c r="D14" i="4"/>
  <c r="G3" i="4"/>
  <c r="E6" i="4"/>
  <c r="F7" i="4"/>
  <c r="E13" i="4"/>
  <c r="F5" i="1"/>
  <c r="E6" i="1"/>
  <c r="E13" i="1"/>
  <c r="G4" i="4" l="1"/>
  <c r="G6" i="4" s="1"/>
  <c r="E14" i="4"/>
  <c r="G7" i="4"/>
  <c r="G13" i="4" s="1"/>
  <c r="F13" i="4"/>
  <c r="F14" i="4" s="1"/>
  <c r="G13" i="1"/>
  <c r="F13" i="1"/>
  <c r="E14" i="1"/>
  <c r="G5" i="1"/>
  <c r="G6" i="1" s="1"/>
  <c r="F6" i="1"/>
  <c r="G14" i="4" l="1"/>
  <c r="L21" i="4" s="1"/>
  <c r="F14" i="1"/>
  <c r="G14" i="1"/>
</calcChain>
</file>

<file path=xl/sharedStrings.xml><?xml version="1.0" encoding="utf-8"?>
<sst xmlns="http://schemas.openxmlformats.org/spreadsheetml/2006/main" count="95" uniqueCount="29">
  <si>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</si>
  <si>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</si>
  <si>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</si>
  <si>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</si>
  <si>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</si>
  <si>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</si>
  <si>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</si>
  <si>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</si>
  <si>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</si>
  <si>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</si>
  <si>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</si>
  <si>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</si>
  <si>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</si>
  <si>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</si>
  <si>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</si>
  <si>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</si>
  <si>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</si>
  <si>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Input</t>
  </si>
  <si>
    <t>Original input</t>
  </si>
  <si>
    <t>Final input</t>
  </si>
  <si>
    <t xml:space="preserve">Interest Rate </t>
  </si>
  <si>
    <t>Increase</t>
  </si>
  <si>
    <t>Decrease</t>
  </si>
  <si>
    <t>Scenario #</t>
  </si>
  <si>
    <t>Total net income 2%</t>
  </si>
  <si>
    <t>Total net income 6%</t>
  </si>
  <si>
    <t>Total net income 4%</t>
  </si>
  <si>
    <t>Total net income 8%</t>
  </si>
  <si>
    <t>TOTAL 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</si>
</sst>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/>
      <top/>
      <bottom style="double">
        <color indexed="64"/>
      </bottom>
      <diagonal/>
    </border>
    <border>
      <left style="thin">
        <color theme="1"/>
      </left>
      <right/>
      <top style="double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2" fillId="0" borderId="9" xfId="0" applyFont="1" applyBorder="1"/>
    <xf numFmtId="0" fontId="2" fillId="0" borderId="12" xfId="0" applyFont="1" applyBorder="1"/>
    <xf numFmtId="164" fontId="2" fillId="0" borderId="10" xfId="1" applyNumberFormat="1" applyFont="1" applyBorder="1"/>
    <xf numFmtId="164" fontId="2" fillId="0" borderId="11" xfId="1" applyNumberFormat="1" applyFont="1" applyBorder="1"/>
    <xf numFmtId="10" fontId="0" fillId="0" borderId="0" xfId="2" applyNumberFormat="1" applyFont="1"/>
    <xf numFmtId="0" fontId="7" fillId="2" borderId="0" xfId="0" applyFont="1" applyFill="1"/>
    <xf numFmtId="0" fontId="8" fillId="3" borderId="0" xfId="0" applyFont="1" applyFill="1"/>
    <xf numFmtId="10" fontId="0" fillId="4" borderId="0" xfId="0" applyNumberFormat="1" applyFill="1"/>
    <xf numFmtId="10" fontId="0" fillId="4" borderId="0" xfId="2" applyNumberFormat="1" applyFont="1" applyFill="1"/>
    <xf numFmtId="0" fontId="2" fillId="5" borderId="8" xfId="0" applyFont="1" applyFill="1" applyBorder="1"/>
    <xf numFmtId="0" fontId="3" fillId="5" borderId="0" xfId="0" applyFont="1" applyFill="1"/>
    <xf numFmtId="9" fontId="0" fillId="4" borderId="0" xfId="2" applyFont="1" applyFill="1"/>
    <xf numFmtId="43" fontId="0" fillId="0" borderId="15" xfId="0" applyNumberFormat="1" applyBorder="1"/>
    <xf numFmtId="164" fontId="0" fillId="0" borderId="7" xfId="1" applyNumberFormat="1" applyFont="1" applyFill="1" applyBorder="1"/>
    <xf numFmtId="43" fontId="0" fillId="0" borderId="0" xfId="0" applyNumberFormat="1"/>
    <xf numFmtId="43" fontId="0" fillId="0" borderId="16" xfId="0" applyNumberFormat="1" applyBorder="1"/>
    <xf numFmtId="43" fontId="0" fillId="0" borderId="7" xfId="0" applyNumberFormat="1" applyBorder="1"/>
    <xf numFmtId="43" fontId="2" fillId="0" borderId="15" xfId="0" applyNumberFormat="1" applyFont="1" applyBorder="1"/>
    <xf numFmtId="43" fontId="2" fillId="0" borderId="13" xfId="0" applyNumberFormat="1" applyFont="1" applyBorder="1"/>
    <xf numFmtId="43" fontId="2" fillId="0" borderId="14" xfId="0" applyNumberFormat="1" applyFont="1" applyBorder="1"/>
    <xf numFmtId="164" fontId="0" fillId="0" borderId="1" xfId="1" applyNumberFormat="1" applyFont="1" applyBorder="1"/>
    <xf numFmtId="164" fontId="5" fillId="0" borderId="3" xfId="1" applyNumberFormat="1" applyFont="1" applyBorder="1"/>
    <xf numFmtId="164" fontId="2" fillId="0" borderId="18" xfId="1" applyNumberFormat="1" applyFont="1" applyBorder="1"/>
    <xf numFmtId="164" fontId="0" fillId="0" borderId="19" xfId="1" applyNumberFormat="1" applyFont="1" applyFill="1" applyBorder="1"/>
    <xf numFmtId="164" fontId="0" fillId="0" borderId="20" xfId="1" applyNumberFormat="1" applyFont="1" applyBorder="1"/>
    <xf numFmtId="164" fontId="0" fillId="0" borderId="20" xfId="1" applyNumberFormat="1" applyFont="1" applyFill="1" applyBorder="1"/>
    <xf numFmtId="164" fontId="5" fillId="0" borderId="20" xfId="1" applyNumberFormat="1" applyFont="1" applyBorder="1"/>
    <xf numFmtId="164" fontId="0" fillId="0" borderId="17" xfId="1" applyNumberFormat="1" applyFont="1" applyFill="1" applyBorder="1"/>
    <xf numFmtId="43" fontId="0" fillId="0" borderId="1" xfId="0" applyNumberFormat="1" applyBorder="1"/>
    <xf numFmtId="43" fontId="0" fillId="0" borderId="21" xfId="0" applyNumberFormat="1" applyBorder="1"/>
    <xf numFmtId="43" fontId="0" fillId="0" borderId="22" xfId="0" applyNumberFormat="1" applyBorder="1"/>
    <xf numFmtId="43" fontId="0" fillId="0" borderId="3" xfId="0" applyNumberFormat="1" applyBorder="1"/>
    <xf numFmtId="43" fontId="0" fillId="0" borderId="23" xfId="0" applyNumberFormat="1" applyBorder="1"/>
    <xf numFmtId="43" fontId="0" fillId="0" borderId="24" xfId="0" applyNumberFormat="1" applyBorder="1"/>
    <xf numFmtId="43" fontId="2" fillId="0" borderId="6" xfId="0" applyNumberFormat="1" applyFont="1" applyBorder="1"/>
    <xf numFmtId="43" fontId="2" fillId="0" borderId="25" xfId="0" applyNumberFormat="1" applyFont="1" applyBorder="1"/>
    <xf numFmtId="43" fontId="0" fillId="0" borderId="6" xfId="0" applyNumberFormat="1" applyBorder="1"/>
    <xf numFmtId="43" fontId="0" fillId="0" borderId="25" xfId="0" applyNumberFormat="1" applyBorder="1"/>
    <xf numFmtId="43" fontId="2" fillId="0" borderId="26" xfId="0" applyNumberFormat="1" applyFont="1" applyBorder="1"/>
    <xf numFmtId="0" fontId="6" fillId="0" borderId="0" xfId="0" applyFont="1" applyAlignment="1">
      <alignment wrapText="1"/>
    </xf>
    <xf numFmtId="0" fontId="6" fillId="0" borderId="23" xfId="0" applyFont="1" applyBorder="1" applyAlignment="1">
      <alignment wrapText="1"/>
    </xf>
    <xf numFmtId="0" fontId="6" fillId="0" borderId="0" xfId="0" applyFont="1"/>
    <xf numFmtId="0" fontId="1" fillId="0" borderId="0" xfId="0" applyFont="1"/>
    <xf numFmtId="0" fontId="1" fillId="0" borderId="23" xfId="0" applyFont="1" applyBorder="1"/>
    <xf numFmtId="0" fontId="6" fillId="0" borderId="15" xfId="0" applyFont="1" applyBorder="1"/>
    <xf numFmtId="0" fontId="1" fillId="0" borderId="15" xfId="0" applyFont="1" applyBorder="1"/>
    <xf numFmtId="0" fontId="1" fillId="0" borderId="25" xfId="0" applyFont="1" applyBorder="1"/>
    <xf numFmtId="0" fontId="9" fillId="6" borderId="8" xfId="0" applyFont="1" applyFill="1" applyBorder="1" applyAlignment="1">
      <alignment wrapText="1"/>
    </xf>
    <xf numFmtId="164" fontId="0" fillId="4" borderId="0" xfId="0" applyNumberFormat="1" applyFill="1"/>
    <xf numFmtId="0" fontId="2" fillId="5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7" borderId="8" xfId="0" applyFill="1" applyBorder="1"/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800100</xdr:colOff>
      <xdr:row>0</xdr:row>
      <xdr:rowOff>30480</xdr:rowOff>
    </xdr:from>
    <xdr:to>
      <xdr:col>13</xdr:col>
      <xdr:colOff>822960</xdr:colOff>
      <xdr:row>0</xdr:row>
      <xdr:rowOff>358140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4D2B63-01AE-4DAB-AEEB-86075FB1F919}"/>
            </a:ext>
          </a:extLst>
        </xdr:cNvPr>
        <xdr:cNvSpPr/>
      </xdr:nvSpPr>
      <xdr:spPr>
        <a:xfrm>
          <a:off x="10744200" y="30480"/>
          <a:ext cx="5410200" cy="3276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ANNUAL CHNANGE</a:t>
          </a:r>
          <a:r>
            <a:rPr lang="en-CA" sz="1100" b="1" baseline="0"/>
            <a:t> ASSUMPTIONS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800100</xdr:colOff>
      <xdr:row>0</xdr:row>
      <xdr:rowOff>30480</xdr:rowOff>
    </xdr:from>
    <xdr:to>
      <xdr:col>13</xdr:col>
      <xdr:colOff>822960</xdr:colOff>
      <xdr:row>0</xdr:row>
      <xdr:rowOff>358140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57AF107-10C9-4BE8-9B12-2A0744E159F0}"/>
            </a:ext>
          </a:extLst>
        </xdr:cNvPr>
        <xdr:cNvSpPr/>
      </xdr:nvSpPr>
      <xdr:spPr>
        <a:xfrm>
          <a:off x="8587740" y="30480"/>
          <a:ext cx="5410200" cy="3276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ANNUAL CHNANGE</a:t>
          </a:r>
          <a:r>
            <a:rPr lang="en-CA" sz="1100" b="1" baseline="0"/>
            <a:t> ASSUMPTIONS</a:t>
          </a:r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434340</xdr:colOff>
      <xdr:row>2</xdr:row>
      <xdr:rowOff>129540</xdr:rowOff>
    </xdr:from>
    <xdr:to>
      <xdr:col>19</xdr:col>
      <xdr:colOff>175260</xdr:colOff>
      <xdr:row>5</xdr:row>
      <xdr:rowOff>30480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D18053-D8D6-884C-504B-02C0B4964E70}"/>
            </a:ext>
          </a:extLst>
        </xdr:cNvPr>
        <xdr:cNvSpPr/>
      </xdr:nvSpPr>
      <xdr:spPr>
        <a:xfrm>
          <a:off x="10698480" y="1242060"/>
          <a:ext cx="1752600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/>
            <a:t>NET INCOME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ean\Downloads\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1B967-9E6A-4E45-8735-3B890449CAC9}">
  <sheetPr codeName="Sheet2"/>
  <dimension ref="A1:N21"/>
  <sheetViews>
    <sheetView topLeftCell="E1" workbookViewId="0">
      <selection activeCell="N12" sqref="N12"/>
    </sheetView>
  </sheetViews>
  <sheetFormatPr defaultColWidth="11" defaultRowHeight="15.6" x14ac:dyDescent="0.3"/>
  <cols>
    <col min="2" max="2" width="35.59765625" bestFit="1" customWidth="1"/>
    <col min="3" max="3" width="11.59765625" bestFit="1" customWidth="1"/>
    <col min="4" max="4" width="17.296875" bestFit="1" customWidth="1"/>
    <col min="11" max="11" width="36.296875" bestFit="1" customWidth="1"/>
    <col min="13" max="13" width="12.3984375" bestFit="1" customWidth="1"/>
  </cols>
  <sheetData>
    <row r="1" spans="1:14" ht="28.8" x14ac:dyDescent="0.55000000000000004">
      <c r="B1" s="1" t="s">
        <v>0</v>
      </c>
      <c r="C1" t="s">
        <v>16</v>
      </c>
    </row>
    <row r="2" spans="1:14" x14ac:dyDescent="0.3">
      <c r="C2" s="2">
        <v>2021</v>
      </c>
      <c r="D2" s="2">
        <v>2022</v>
      </c>
      <c r="E2" s="2">
        <v>2023</v>
      </c>
      <c r="F2" s="2">
        <v>2024</v>
      </c>
      <c r="G2" s="2">
        <v>2025</v>
      </c>
      <c r="L2" t="s">
        <v>17</v>
      </c>
      <c r="M2" t="s">
        <v>18</v>
      </c>
      <c r="N2" t="s">
        <v>19</v>
      </c>
    </row>
    <row r="3" spans="1:14" x14ac:dyDescent="0.3">
      <c r="A3" s="59" t="s">
        <v>1</v>
      </c>
      <c r="B3" s="3" t="s">
        <v>2</v>
      </c>
      <c r="C3" s="30">
        <v>45677</v>
      </c>
      <c r="D3" s="38">
        <f>C3*(1+$N3)^(D$2-C$2)</f>
        <v>45220.23</v>
      </c>
      <c r="E3" s="39">
        <f>D3*(1+$N3)^(E$2-D$2)</f>
        <v>44768.027700000006</v>
      </c>
      <c r="F3" s="39">
        <f>E3*(1+$N3)^(F$2-E$2)</f>
        <v>44320.347423000007</v>
      </c>
      <c r="G3" s="40">
        <f>F3*(1+$N3)^(G$2-F$2)</f>
        <v>43877.143948770004</v>
      </c>
      <c r="K3" s="19" t="s">
        <v>2</v>
      </c>
      <c r="L3" s="15" t="s">
        <v>21</v>
      </c>
      <c r="M3" s="14">
        <v>-0.01</v>
      </c>
      <c r="N3" s="17">
        <f>M3</f>
        <v>-0.01</v>
      </c>
    </row>
    <row r="4" spans="1:14" x14ac:dyDescent="0.3">
      <c r="A4" s="60"/>
      <c r="B4" s="4" t="s">
        <v>3</v>
      </c>
      <c r="C4" s="31">
        <v>-65007</v>
      </c>
      <c r="D4" s="41">
        <f t="shared" ref="D4:G11" si="0">C4*(1+$N4)^(D$2-C$2)</f>
        <v>-64356.93</v>
      </c>
      <c r="E4" s="24">
        <f t="shared" si="0"/>
        <v>-63713.360699999997</v>
      </c>
      <c r="F4" s="24">
        <f>E4*(1+$N4)^(F$2-E$2)</f>
        <v>-63076.227092999994</v>
      </c>
      <c r="G4" s="42">
        <f t="shared" si="0"/>
        <v>-62445.464822069996</v>
      </c>
      <c r="K4" s="19" t="s">
        <v>3</v>
      </c>
      <c r="L4" s="15" t="s">
        <v>21</v>
      </c>
      <c r="M4" s="14">
        <v>-0.01</v>
      </c>
      <c r="N4" s="17">
        <f>M4</f>
        <v>-0.01</v>
      </c>
    </row>
    <row r="5" spans="1:14" ht="16.2" thickBot="1" x14ac:dyDescent="0.35">
      <c r="A5" s="60"/>
      <c r="B5" s="5" t="s">
        <v>4</v>
      </c>
      <c r="C5" s="23">
        <v>567485</v>
      </c>
      <c r="D5" s="26">
        <f t="shared" si="0"/>
        <v>568619.97</v>
      </c>
      <c r="E5" s="25">
        <f t="shared" si="0"/>
        <v>569757.20993999997</v>
      </c>
      <c r="F5" s="25">
        <f t="shared" si="0"/>
        <v>570896.72435987997</v>
      </c>
      <c r="G5" s="43">
        <f t="shared" si="0"/>
        <v>572038.51780859975</v>
      </c>
      <c r="K5" s="19" t="s">
        <v>4</v>
      </c>
      <c r="L5" s="15" t="s">
        <v>21</v>
      </c>
      <c r="M5" s="14">
        <v>0.02</v>
      </c>
      <c r="N5" s="18">
        <f>IF(AND(L18&gt;=0.02,L18&lt;=0.04),M5*(1-0.0025),IF(AND(L18&gt;=0.05,L18&lt;=0.07),M5*(1+0.00625),0.002))</f>
        <v>2E-3</v>
      </c>
    </row>
    <row r="6" spans="1:14" ht="16.2" thickTop="1" x14ac:dyDescent="0.3">
      <c r="A6" s="61"/>
      <c r="B6" s="6" t="s">
        <v>5</v>
      </c>
      <c r="C6" s="32">
        <v>548155</v>
      </c>
      <c r="D6" s="44">
        <f>SUM(D3:D5)</f>
        <v>549483.27</v>
      </c>
      <c r="E6" s="27">
        <f>SUM(E3:E5)</f>
        <v>550811.87693999999</v>
      </c>
      <c r="F6" s="27">
        <f>SUM(F3:F5)</f>
        <v>552140.84468988003</v>
      </c>
      <c r="G6" s="45">
        <f>SUM(G3:G5)</f>
        <v>553470.19693529978</v>
      </c>
    </row>
    <row r="7" spans="1:14" x14ac:dyDescent="0.3">
      <c r="A7" s="59" t="s">
        <v>6</v>
      </c>
      <c r="B7" s="7" t="s">
        <v>7</v>
      </c>
      <c r="C7" s="33">
        <v>65583</v>
      </c>
      <c r="D7" s="41">
        <f>C7*(1-$N7)^(D$2-C$2)</f>
        <v>64927.17</v>
      </c>
      <c r="E7" s="24">
        <f t="shared" ref="E7:G7" si="1">D7*(1-$N7)^(E$2-D$2)</f>
        <v>64277.898300000001</v>
      </c>
      <c r="F7" s="24">
        <f t="shared" si="1"/>
        <v>63635.119316999997</v>
      </c>
      <c r="G7" s="42">
        <f t="shared" si="1"/>
        <v>62998.768123829999</v>
      </c>
      <c r="K7" s="19" t="s">
        <v>7</v>
      </c>
      <c r="L7" s="16" t="s">
        <v>22</v>
      </c>
      <c r="M7" s="14">
        <v>0.02</v>
      </c>
      <c r="N7" s="18">
        <f>IF(AND(L18&gt;=0.02,L18&lt;=0.04),M7*0.01,IF(AND(L18&gt;=0.05,L18&lt;=0.07),M7*0.007,0.01))</f>
        <v>0.01</v>
      </c>
    </row>
    <row r="8" spans="1:14" x14ac:dyDescent="0.3">
      <c r="A8" s="60"/>
      <c r="B8" s="8" t="s">
        <v>8</v>
      </c>
      <c r="C8" s="34">
        <v>55478</v>
      </c>
      <c r="D8" s="41">
        <f t="shared" si="0"/>
        <v>54368.44</v>
      </c>
      <c r="E8" s="24">
        <f t="shared" si="0"/>
        <v>53281.071199999998</v>
      </c>
      <c r="F8" s="24">
        <f t="shared" si="0"/>
        <v>52215.449775999994</v>
      </c>
      <c r="G8" s="42">
        <f t="shared" si="0"/>
        <v>51171.140780479996</v>
      </c>
      <c r="K8" s="19" t="s">
        <v>8</v>
      </c>
      <c r="L8" s="15" t="s">
        <v>21</v>
      </c>
      <c r="M8" s="14">
        <v>-0.02</v>
      </c>
      <c r="N8" s="17">
        <f>M8</f>
        <v>-0.02</v>
      </c>
    </row>
    <row r="9" spans="1:14" x14ac:dyDescent="0.3">
      <c r="A9" s="60"/>
      <c r="B9" s="8" t="s">
        <v>9</v>
      </c>
      <c r="C9" s="35">
        <v>78965</v>
      </c>
      <c r="D9" s="41">
        <f t="shared" si="0"/>
        <v>79359.824999999997</v>
      </c>
      <c r="E9" s="24">
        <f t="shared" si="0"/>
        <v>79756.624124999988</v>
      </c>
      <c r="F9" s="24">
        <f t="shared" si="0"/>
        <v>80155.407245624985</v>
      </c>
      <c r="G9" s="42">
        <f t="shared" si="0"/>
        <v>80556.1842818531</v>
      </c>
      <c r="K9" s="19" t="s">
        <v>9</v>
      </c>
      <c r="L9" s="15" t="s">
        <v>21</v>
      </c>
      <c r="M9" s="14">
        <v>0.02</v>
      </c>
      <c r="N9" s="18">
        <f>IF(AND(L18&gt;= 0.02,L18&lt;=0.04),M9*1.015,0.005)</f>
        <v>5.0000000000000001E-3</v>
      </c>
    </row>
    <row r="10" spans="1:14" x14ac:dyDescent="0.3">
      <c r="A10" s="60"/>
      <c r="B10" s="8" t="s">
        <v>10</v>
      </c>
      <c r="C10" s="36">
        <v>-2456</v>
      </c>
      <c r="D10" s="41">
        <f t="shared" si="0"/>
        <v>-2505.12</v>
      </c>
      <c r="E10" s="24">
        <f t="shared" si="0"/>
        <v>-2555.2224000000001</v>
      </c>
      <c r="F10" s="24">
        <f t="shared" si="0"/>
        <v>-2606.3268480000002</v>
      </c>
      <c r="G10" s="42">
        <f t="shared" si="0"/>
        <v>-2658.4533849600002</v>
      </c>
      <c r="K10" s="19" t="s">
        <v>10</v>
      </c>
      <c r="L10" s="15" t="s">
        <v>21</v>
      </c>
      <c r="M10" s="14">
        <v>0.02</v>
      </c>
      <c r="N10" s="17">
        <f>M10</f>
        <v>0.02</v>
      </c>
    </row>
    <row r="11" spans="1:14" x14ac:dyDescent="0.3">
      <c r="A11" s="60"/>
      <c r="B11" s="8" t="s">
        <v>11</v>
      </c>
      <c r="C11" s="34">
        <v>3456</v>
      </c>
      <c r="D11" s="41">
        <f t="shared" si="0"/>
        <v>3352.3199999999997</v>
      </c>
      <c r="E11" s="24">
        <f t="shared" si="0"/>
        <v>3251.7503999999994</v>
      </c>
      <c r="F11" s="24">
        <f t="shared" si="0"/>
        <v>3154.1978879999992</v>
      </c>
      <c r="G11" s="42">
        <f t="shared" si="0"/>
        <v>3059.5719513599993</v>
      </c>
      <c r="K11" s="19" t="s">
        <v>11</v>
      </c>
      <c r="L11" s="15" t="s">
        <v>21</v>
      </c>
      <c r="M11" s="14">
        <v>-0.03</v>
      </c>
      <c r="N11" s="17">
        <f>M11</f>
        <v>-0.03</v>
      </c>
    </row>
    <row r="12" spans="1:14" ht="16.2" thickBot="1" x14ac:dyDescent="0.35">
      <c r="A12" s="60"/>
      <c r="B12" s="9" t="s">
        <v>12</v>
      </c>
      <c r="C12" s="37">
        <v>2870</v>
      </c>
      <c r="D12" s="46">
        <f>C12*(1-$N12)^(D$2-C$2)</f>
        <v>2849.91</v>
      </c>
      <c r="E12" s="22">
        <f t="shared" ref="E12:G12" si="2">D12*(1-$N12)^(E$2-D$2)</f>
        <v>2829.96063</v>
      </c>
      <c r="F12" s="22">
        <f t="shared" si="2"/>
        <v>2810.1509055900001</v>
      </c>
      <c r="G12" s="47">
        <f t="shared" si="2"/>
        <v>2790.4798492508703</v>
      </c>
      <c r="K12" s="19" t="s">
        <v>12</v>
      </c>
      <c r="L12" s="16" t="s">
        <v>22</v>
      </c>
      <c r="M12" s="14">
        <v>0.06</v>
      </c>
      <c r="N12" s="18">
        <f>IF(AND(L18&gt;=0.02,L18&lt;=0.04),M12*1.015,0.007)</f>
        <v>7.0000000000000001E-3</v>
      </c>
    </row>
    <row r="13" spans="1:14" ht="16.8" thickTop="1" thickBot="1" x14ac:dyDescent="0.35">
      <c r="A13" s="61"/>
      <c r="B13" s="10" t="s">
        <v>13</v>
      </c>
      <c r="C13" s="12">
        <v>203896</v>
      </c>
      <c r="D13" s="28">
        <f>SUM(D7:D12)</f>
        <v>202352.54500000001</v>
      </c>
      <c r="E13" s="29">
        <f>SUM(E7:E12)</f>
        <v>200842.08225499996</v>
      </c>
      <c r="F13" s="29">
        <f>SUM(F7:F12)</f>
        <v>199363.99828421499</v>
      </c>
      <c r="G13" s="48">
        <f>SUM(G7:G12)</f>
        <v>197917.69160181397</v>
      </c>
    </row>
    <row r="14" spans="1:14" ht="16.2" thickTop="1" x14ac:dyDescent="0.3">
      <c r="A14" s="19" t="s">
        <v>14</v>
      </c>
      <c r="B14" s="11" t="s">
        <v>15</v>
      </c>
      <c r="C14" s="13">
        <v>344259</v>
      </c>
      <c r="D14" s="28">
        <f>D6-D13</f>
        <v>347130.72499999998</v>
      </c>
      <c r="E14" s="29">
        <f t="shared" ref="E14:G14" si="3">E6-E13</f>
        <v>349969.79468500003</v>
      </c>
      <c r="F14" s="29">
        <f t="shared" si="3"/>
        <v>352776.84640566504</v>
      </c>
      <c r="G14" s="48">
        <f t="shared" si="3"/>
        <v>355552.50533348578</v>
      </c>
    </row>
    <row r="17" spans="11:12" x14ac:dyDescent="0.3">
      <c r="L17" t="s">
        <v>17</v>
      </c>
    </row>
    <row r="18" spans="11:12" ht="28.8" x14ac:dyDescent="0.55000000000000004">
      <c r="K18" s="20" t="s">
        <v>20</v>
      </c>
      <c r="L18" s="21">
        <v>0.08</v>
      </c>
    </row>
    <row r="21" spans="11:12" ht="28.8" x14ac:dyDescent="0.55000000000000004">
      <c r="K21" s="20" t="s">
        <v>28</v>
      </c>
      <c r="L21" s="58">
        <f>SUM(C14:G14)</f>
        <v>1749688.8714241509</v>
      </c>
    </row>
  </sheetData>
  <mergeCells count="2">
    <mergeCell ref="A3:A6"/>
    <mergeCell ref="A7:A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N18"/>
  <sheetViews>
    <sheetView workbookViewId="0">
      <selection activeCell="D21" sqref="D21"/>
    </sheetView>
  </sheetViews>
  <sheetFormatPr defaultColWidth="11" defaultRowHeight="15.6" x14ac:dyDescent="0.3"/>
  <cols>
    <col min="2" max="2" width="35.59765625" bestFit="1" customWidth="1"/>
    <col min="3" max="3" width="11.59765625" bestFit="1" customWidth="1"/>
    <col min="4" max="4" width="17.296875" bestFit="1" customWidth="1"/>
    <col min="11" max="11" width="36.296875" bestFit="1" customWidth="1"/>
    <col min="13" max="13" width="12.3984375" bestFit="1" customWidth="1"/>
  </cols>
  <sheetData>
    <row r="1" spans="1:14" ht="28.8" x14ac:dyDescent="0.55000000000000004">
      <c r="B1" s="1" t="s">
        <v>0</v>
      </c>
      <c r="C1" t="s">
        <v>16</v>
      </c>
    </row>
    <row r="2" spans="1:14" x14ac:dyDescent="0.3">
      <c r="C2" s="2">
        <v>2021</v>
      </c>
      <c r="D2" s="2">
        <v>2022</v>
      </c>
      <c r="E2" s="2">
        <v>2023</v>
      </c>
      <c r="F2" s="2">
        <v>2024</v>
      </c>
      <c r="G2" s="2">
        <v>2025</v>
      </c>
      <c r="L2" t="s">
        <v>17</v>
      </c>
      <c r="M2" t="s">
        <v>18</v>
      </c>
      <c r="N2" t="s">
        <v>19</v>
      </c>
    </row>
    <row r="3" spans="1:14" x14ac:dyDescent="0.3">
      <c r="A3" s="59" t="s">
        <v>1</v>
      </c>
      <c r="B3" s="3" t="s">
        <v>2</v>
      </c>
      <c r="C3" s="30">
        <v>45677</v>
      </c>
      <c r="D3" s="38">
        <f>C3*(1+$N3)^(D$2-C$2)</f>
        <v>47047.31</v>
      </c>
      <c r="E3" s="39">
        <f>D3*(1+$N3)^(E$2-D$2)</f>
        <v>48458.729299999999</v>
      </c>
      <c r="F3" s="39">
        <f>E3*(1+$N3)^(F$2-E$2)</f>
        <v>49912.491178999997</v>
      </c>
      <c r="G3" s="40">
        <f>F3*(1+$N3)^(G$2-F$2)</f>
        <v>51409.865914369999</v>
      </c>
      <c r="K3" s="19" t="s">
        <v>2</v>
      </c>
      <c r="L3" s="15" t="s">
        <v>21</v>
      </c>
      <c r="M3" s="14">
        <v>0.03</v>
      </c>
      <c r="N3" s="17">
        <f>M3</f>
        <v>0.03</v>
      </c>
    </row>
    <row r="4" spans="1:14" x14ac:dyDescent="0.3">
      <c r="A4" s="60"/>
      <c r="B4" s="4" t="s">
        <v>3</v>
      </c>
      <c r="C4" s="31">
        <v>-65007</v>
      </c>
      <c r="D4" s="41">
        <f t="shared" ref="D4:G11" si="0">C4*(1+$N4)^(D$2-C$2)</f>
        <v>-65657.070000000007</v>
      </c>
      <c r="E4" s="24">
        <f t="shared" si="0"/>
        <v>-66313.640700000004</v>
      </c>
      <c r="F4" s="24">
        <f t="shared" si="0"/>
        <v>-66976.777107000002</v>
      </c>
      <c r="G4" s="42">
        <f t="shared" si="0"/>
        <v>-67646.544878069995</v>
      </c>
      <c r="K4" s="19" t="s">
        <v>3</v>
      </c>
      <c r="L4" s="15" t="s">
        <v>21</v>
      </c>
      <c r="M4" s="14">
        <v>0.01</v>
      </c>
      <c r="N4" s="17">
        <f>M4</f>
        <v>0.01</v>
      </c>
    </row>
    <row r="5" spans="1:14" ht="16.2" thickBot="1" x14ac:dyDescent="0.35">
      <c r="A5" s="60"/>
      <c r="B5" s="5" t="s">
        <v>4</v>
      </c>
      <c r="C5" s="23">
        <v>567485</v>
      </c>
      <c r="D5" s="26">
        <f t="shared" si="0"/>
        <v>568617.13257499994</v>
      </c>
      <c r="E5" s="25">
        <f t="shared" si="0"/>
        <v>569751.52375448705</v>
      </c>
      <c r="F5" s="25">
        <f t="shared" si="0"/>
        <v>570888.17804437724</v>
      </c>
      <c r="G5" s="43">
        <f t="shared" si="0"/>
        <v>572027.0999595758</v>
      </c>
      <c r="K5" s="19" t="s">
        <v>4</v>
      </c>
      <c r="L5" s="15" t="s">
        <v>21</v>
      </c>
      <c r="M5" s="14">
        <v>2E-3</v>
      </c>
      <c r="N5" s="18">
        <f>IF(AND(L18&gt;=0.02,L18&lt;=0.04),M5*(1-0.0025),IF(AND(L18&gt;=0.05,L18&lt;=0.07),M5*(1+0.00625),0.002))</f>
        <v>1.9950000000000002E-3</v>
      </c>
    </row>
    <row r="6" spans="1:14" ht="16.2" thickTop="1" x14ac:dyDescent="0.3">
      <c r="A6" s="61"/>
      <c r="B6" s="6" t="s">
        <v>5</v>
      </c>
      <c r="C6" s="32">
        <v>548155</v>
      </c>
      <c r="D6" s="44">
        <f>SUM(D3:D5)</f>
        <v>550007.37257499993</v>
      </c>
      <c r="E6" s="27">
        <f>SUM(E3:E5)</f>
        <v>551896.61235448706</v>
      </c>
      <c r="F6" s="27">
        <f>SUM(F3:F5)</f>
        <v>553823.89211637725</v>
      </c>
      <c r="G6" s="45">
        <f>SUM(G3:G5)</f>
        <v>555790.42099587584</v>
      </c>
    </row>
    <row r="7" spans="1:14" x14ac:dyDescent="0.3">
      <c r="A7" s="59" t="s">
        <v>6</v>
      </c>
      <c r="B7" s="7" t="s">
        <v>7</v>
      </c>
      <c r="C7" s="33">
        <v>65583</v>
      </c>
      <c r="D7" s="41">
        <f>C7*(1-$N7)^(D$2-C$2)</f>
        <v>65576.441699999996</v>
      </c>
      <c r="E7" s="24">
        <f t="shared" ref="E7:G7" si="1">D7*(1-$N7)^(E$2-D$2)</f>
        <v>65569.88405583</v>
      </c>
      <c r="F7" s="24">
        <f t="shared" si="1"/>
        <v>65563.327067424412</v>
      </c>
      <c r="G7" s="42">
        <f t="shared" si="1"/>
        <v>65556.770734717677</v>
      </c>
      <c r="K7" s="19" t="s">
        <v>7</v>
      </c>
      <c r="L7" s="16" t="s">
        <v>22</v>
      </c>
      <c r="M7" s="14">
        <v>0.01</v>
      </c>
      <c r="N7" s="18">
        <f>IF(AND(L18&gt;=0.02,L18&lt;=0.04),M7*0.01,IF(AND(L18&gt;=0.05,L18&lt;=0.07),M7*0.007,0.01))</f>
        <v>1E-4</v>
      </c>
    </row>
    <row r="8" spans="1:14" x14ac:dyDescent="0.3">
      <c r="A8" s="60"/>
      <c r="B8" s="8" t="s">
        <v>8</v>
      </c>
      <c r="C8" s="34">
        <v>55478</v>
      </c>
      <c r="D8" s="41">
        <f t="shared" si="0"/>
        <v>56032.78</v>
      </c>
      <c r="E8" s="24">
        <f t="shared" si="0"/>
        <v>56593.107799999998</v>
      </c>
      <c r="F8" s="24">
        <f t="shared" si="0"/>
        <v>57159.038877999999</v>
      </c>
      <c r="G8" s="42">
        <f t="shared" si="0"/>
        <v>57730.629266780001</v>
      </c>
      <c r="K8" s="19" t="s">
        <v>8</v>
      </c>
      <c r="L8" s="15" t="s">
        <v>21</v>
      </c>
      <c r="M8" s="14">
        <v>0.01</v>
      </c>
      <c r="N8" s="17">
        <f>M8</f>
        <v>0.01</v>
      </c>
    </row>
    <row r="9" spans="1:14" x14ac:dyDescent="0.3">
      <c r="A9" s="60"/>
      <c r="B9" s="8" t="s">
        <v>9</v>
      </c>
      <c r="C9" s="35">
        <v>78965</v>
      </c>
      <c r="D9" s="41">
        <f t="shared" si="0"/>
        <v>79365.747374999992</v>
      </c>
      <c r="E9" s="24">
        <f t="shared" si="0"/>
        <v>79768.528542928107</v>
      </c>
      <c r="F9" s="24">
        <f t="shared" si="0"/>
        <v>80173.353825283455</v>
      </c>
      <c r="G9" s="42">
        <f t="shared" si="0"/>
        <v>80580.23359594676</v>
      </c>
      <c r="K9" s="19" t="s">
        <v>9</v>
      </c>
      <c r="L9" s="15" t="s">
        <v>21</v>
      </c>
      <c r="M9" s="14">
        <v>5.0000000000000001E-3</v>
      </c>
      <c r="N9" s="18">
        <f>IF(AND(L18&gt;= 0.02,L18&lt;=0.04),M9*1.015,0.005)</f>
        <v>5.0749999999999997E-3</v>
      </c>
    </row>
    <row r="10" spans="1:14" x14ac:dyDescent="0.3">
      <c r="A10" s="60"/>
      <c r="B10" s="8" t="s">
        <v>10</v>
      </c>
      <c r="C10" s="36">
        <v>-2456</v>
      </c>
      <c r="D10" s="41">
        <f t="shared" si="0"/>
        <v>-2478.1039999999998</v>
      </c>
      <c r="E10" s="24">
        <f t="shared" si="0"/>
        <v>-2500.4069359999994</v>
      </c>
      <c r="F10" s="24">
        <f t="shared" si="0"/>
        <v>-2522.9105984239991</v>
      </c>
      <c r="G10" s="42">
        <f t="shared" si="0"/>
        <v>-2545.6167938098147</v>
      </c>
      <c r="K10" s="19" t="s">
        <v>10</v>
      </c>
      <c r="L10" s="15" t="s">
        <v>21</v>
      </c>
      <c r="M10" s="14">
        <v>8.9999999999999993E-3</v>
      </c>
      <c r="N10" s="17">
        <f>M10</f>
        <v>8.9999999999999993E-3</v>
      </c>
    </row>
    <row r="11" spans="1:14" x14ac:dyDescent="0.3">
      <c r="A11" s="60"/>
      <c r="B11" s="8" t="s">
        <v>11</v>
      </c>
      <c r="C11" s="34">
        <v>3456</v>
      </c>
      <c r="D11" s="41">
        <f t="shared" si="0"/>
        <v>3525.12</v>
      </c>
      <c r="E11" s="24">
        <f t="shared" si="0"/>
        <v>3595.6223999999997</v>
      </c>
      <c r="F11" s="24">
        <f t="shared" si="0"/>
        <v>3667.5348479999998</v>
      </c>
      <c r="G11" s="42">
        <f t="shared" si="0"/>
        <v>3740.8855449600001</v>
      </c>
      <c r="K11" s="19" t="s">
        <v>11</v>
      </c>
      <c r="L11" s="15" t="s">
        <v>21</v>
      </c>
      <c r="M11" s="14">
        <v>0.02</v>
      </c>
      <c r="N11" s="17">
        <f>M11</f>
        <v>0.02</v>
      </c>
    </row>
    <row r="12" spans="1:14" ht="16.2" thickBot="1" x14ac:dyDescent="0.35">
      <c r="A12" s="60"/>
      <c r="B12" s="9" t="s">
        <v>12</v>
      </c>
      <c r="C12" s="37">
        <v>2870</v>
      </c>
      <c r="D12" s="46">
        <f>C12*(1-$N12)^(D$2-C$2)</f>
        <v>2849.6086500000001</v>
      </c>
      <c r="E12" s="22">
        <f t="shared" ref="E12:G12" si="2">D12*(1-$N12)^(E$2-D$2)</f>
        <v>2829.3621805417501</v>
      </c>
      <c r="F12" s="22">
        <f t="shared" si="2"/>
        <v>2809.2595622490007</v>
      </c>
      <c r="G12" s="47">
        <f t="shared" si="2"/>
        <v>2789.2997730592215</v>
      </c>
      <c r="K12" s="19" t="s">
        <v>12</v>
      </c>
      <c r="L12" s="16" t="s">
        <v>22</v>
      </c>
      <c r="M12" s="14">
        <v>7.0000000000000001E-3</v>
      </c>
      <c r="N12" s="18">
        <f>IF(AND(L18&gt;=0.02,L18&lt;=0.04),M12*1.015,0.007)</f>
        <v>7.1049999999999993E-3</v>
      </c>
    </row>
    <row r="13" spans="1:14" ht="16.8" thickTop="1" thickBot="1" x14ac:dyDescent="0.35">
      <c r="A13" s="61"/>
      <c r="B13" s="10" t="s">
        <v>13</v>
      </c>
      <c r="C13" s="12">
        <v>203896</v>
      </c>
      <c r="D13" s="28">
        <f>SUM(D7:D12)</f>
        <v>204871.59372499998</v>
      </c>
      <c r="E13" s="29">
        <f>SUM(E7:E12)</f>
        <v>205856.09804329989</v>
      </c>
      <c r="F13" s="29">
        <f>SUM(F7:F12)</f>
        <v>206849.6035825329</v>
      </c>
      <c r="G13" s="48">
        <f>SUM(G7:G12)</f>
        <v>207852.20212165389</v>
      </c>
    </row>
    <row r="14" spans="1:14" ht="16.2" thickTop="1" x14ac:dyDescent="0.3">
      <c r="A14" s="19" t="s">
        <v>14</v>
      </c>
      <c r="B14" s="11" t="s">
        <v>15</v>
      </c>
      <c r="C14" s="13">
        <v>344259</v>
      </c>
      <c r="D14" s="28">
        <f>D6-D13</f>
        <v>345135.77884999994</v>
      </c>
      <c r="E14" s="29">
        <f t="shared" ref="E14:G14" si="3">E6-E13</f>
        <v>346040.5143111872</v>
      </c>
      <c r="F14" s="29">
        <f t="shared" si="3"/>
        <v>346974.28853384434</v>
      </c>
      <c r="G14" s="48">
        <f t="shared" si="3"/>
        <v>347938.21887422196</v>
      </c>
    </row>
    <row r="17" spans="11:12" x14ac:dyDescent="0.3">
      <c r="L17" t="s">
        <v>17</v>
      </c>
    </row>
    <row r="18" spans="11:12" ht="28.8" x14ac:dyDescent="0.55000000000000004">
      <c r="K18" s="20" t="s">
        <v>20</v>
      </c>
      <c r="L18" s="21">
        <v>0.02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  <ignoredErrors>
    <ignoredError sqref="N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CFF1-2BF2-4176-83A1-E3FE98B392DB}">
  <sheetPr codeName="Sheet3"/>
  <dimension ref="A1:N101"/>
  <sheetViews>
    <sheetView tabSelected="1" topLeftCell="D1" workbookViewId="0">
      <selection activeCell="O4" sqref="O4"/>
    </sheetView>
  </sheetViews>
  <sheetFormatPr defaultRowHeight="15.6" x14ac:dyDescent="0.3"/>
  <cols>
    <col min="1" max="1" width="8.69921875" bestFit="1" customWidth="1"/>
    <col min="2" max="2" width="8.5" bestFit="1" customWidth="1"/>
    <col min="3" max="3" width="8.69921875" bestFit="1" customWidth="1"/>
    <col min="4" max="4" width="8.59765625" bestFit="1" customWidth="1"/>
    <col min="5" max="5" width="5.796875" bestFit="1" customWidth="1"/>
    <col min="6" max="6" width="7" bestFit="1" customWidth="1"/>
    <col min="8" max="9" width="8.69921875" bestFit="1" customWidth="1"/>
    <col min="10" max="10" width="8.3984375" bestFit="1" customWidth="1"/>
  </cols>
  <sheetData>
    <row r="1" spans="1:14" ht="72" x14ac:dyDescent="0.3">
      <c r="A1" s="49" t="s">
        <v>23</v>
      </c>
      <c r="B1" s="49" t="s">
        <v>2</v>
      </c>
      <c r="C1" s="49" t="s">
        <v>3</v>
      </c>
      <c r="D1" s="49" t="s">
        <v>4</v>
      </c>
      <c r="E1" s="49" t="s">
        <v>7</v>
      </c>
      <c r="F1" s="49" t="s">
        <v>8</v>
      </c>
      <c r="G1" s="49" t="s">
        <v>9</v>
      </c>
      <c r="H1" s="49" t="s">
        <v>10</v>
      </c>
      <c r="I1" s="49" t="s">
        <v>11</v>
      </c>
      <c r="J1" s="50" t="s">
        <v>12</v>
      </c>
      <c r="K1" s="57" t="s">
        <v>24</v>
      </c>
      <c r="L1" s="57" t="s">
        <v>26</v>
      </c>
      <c r="M1" s="57" t="s">
        <v>25</v>
      </c>
      <c r="N1" s="57" t="s">
        <v>27</v>
      </c>
    </row>
    <row r="2" spans="1:14" x14ac:dyDescent="0.3">
      <c r="A2" s="51">
        <v>1</v>
      </c>
      <c r="B2" s="52">
        <v>0.01</v>
      </c>
      <c r="C2" s="52">
        <v>0.03</v>
      </c>
      <c r="D2" s="52">
        <v>-0.01</v>
      </c>
      <c r="E2" s="52">
        <v>-0.05</v>
      </c>
      <c r="F2" s="52">
        <v>0.01</v>
      </c>
      <c r="G2" s="52">
        <v>0.04</v>
      </c>
      <c r="H2" s="52">
        <v>0.06</v>
      </c>
      <c r="I2" s="52">
        <v>0.01</v>
      </c>
      <c r="J2" s="53">
        <v>-0.02</v>
      </c>
      <c r="K2" s="62">
        <v>1611069.2055046083</v>
      </c>
      <c r="L2" s="62">
        <v>1611069.2055046083</v>
      </c>
      <c r="M2" s="62">
        <v>1640895.0598639832</v>
      </c>
      <c r="N2" s="62">
        <v>1715521.6096218505</v>
      </c>
    </row>
    <row r="3" spans="1:14" x14ac:dyDescent="0.3">
      <c r="A3" s="51">
        <v>2</v>
      </c>
      <c r="B3" s="52">
        <v>0.05</v>
      </c>
      <c r="C3" s="52">
        <v>0.09</v>
      </c>
      <c r="D3" s="52">
        <v>0.02</v>
      </c>
      <c r="E3" s="52">
        <v>0.04</v>
      </c>
      <c r="F3" s="52">
        <v>0.01</v>
      </c>
      <c r="G3" s="52">
        <v>0.02</v>
      </c>
      <c r="H3" s="52">
        <v>7.0000000000000007E-2</v>
      </c>
      <c r="I3" s="52">
        <v>0.01</v>
      </c>
      <c r="J3" s="53">
        <v>-0.01</v>
      </c>
      <c r="K3" s="62">
        <v>1776286.1753396888</v>
      </c>
      <c r="L3" s="62">
        <v>1776286.1753396888</v>
      </c>
      <c r="M3" s="62">
        <v>1790125.3806218253</v>
      </c>
      <c r="N3" s="62">
        <v>1691279.2860615307</v>
      </c>
    </row>
    <row r="4" spans="1:14" x14ac:dyDescent="0.3">
      <c r="A4" s="51">
        <v>3</v>
      </c>
      <c r="B4" s="52">
        <v>0.03</v>
      </c>
      <c r="C4" s="52">
        <v>0.02</v>
      </c>
      <c r="D4" s="52">
        <v>0.03</v>
      </c>
      <c r="E4" s="52">
        <v>-0.04</v>
      </c>
      <c r="F4" s="52">
        <v>7.0000000000000007E-2</v>
      </c>
      <c r="G4" s="52">
        <v>-0.06</v>
      </c>
      <c r="H4" s="52">
        <v>0.02</v>
      </c>
      <c r="I4" s="52">
        <v>-0.03</v>
      </c>
      <c r="J4" s="53">
        <v>0.04</v>
      </c>
      <c r="K4" s="62">
        <v>1903092.9224881884</v>
      </c>
      <c r="L4" s="62">
        <v>1903092.9224881884</v>
      </c>
      <c r="M4" s="62">
        <v>1854616.3835719302</v>
      </c>
      <c r="N4" s="62">
        <v>1696106.0656394006</v>
      </c>
    </row>
    <row r="5" spans="1:14" x14ac:dyDescent="0.3">
      <c r="A5" s="51">
        <v>4</v>
      </c>
      <c r="B5" s="52">
        <v>0.03</v>
      </c>
      <c r="C5" s="52">
        <v>-0.08</v>
      </c>
      <c r="D5" s="52">
        <v>0.04</v>
      </c>
      <c r="E5" s="52">
        <v>-0.04</v>
      </c>
      <c r="F5" s="52">
        <v>-0.01</v>
      </c>
      <c r="G5" s="52">
        <v>0.05</v>
      </c>
      <c r="H5" s="52">
        <v>0.02</v>
      </c>
      <c r="I5" s="52">
        <v>0.06</v>
      </c>
      <c r="J5" s="53">
        <v>0.02</v>
      </c>
      <c r="K5" s="62">
        <v>1981006.6435799696</v>
      </c>
      <c r="L5" s="62">
        <v>1981006.6435799696</v>
      </c>
      <c r="M5" s="62">
        <v>2021056.8409991793</v>
      </c>
      <c r="N5" s="62">
        <v>1801313.1561554004</v>
      </c>
    </row>
    <row r="6" spans="1:14" x14ac:dyDescent="0.3">
      <c r="A6" s="51">
        <v>5</v>
      </c>
      <c r="B6" s="52">
        <v>0.04</v>
      </c>
      <c r="C6" s="52">
        <v>0.06</v>
      </c>
      <c r="D6" s="52">
        <v>0.02</v>
      </c>
      <c r="E6" s="52">
        <v>-0.02</v>
      </c>
      <c r="F6" s="52">
        <v>7.0000000000000007E-2</v>
      </c>
      <c r="G6" s="52">
        <v>0.05</v>
      </c>
      <c r="H6" s="52">
        <v>0.06</v>
      </c>
      <c r="I6" s="52">
        <v>-0.03</v>
      </c>
      <c r="J6" s="53">
        <v>-0.01</v>
      </c>
      <c r="K6" s="62">
        <v>1732725.5754986515</v>
      </c>
      <c r="L6" s="62">
        <v>1732725.5754986515</v>
      </c>
      <c r="M6" s="62">
        <v>1772484.8336413512</v>
      </c>
      <c r="N6" s="62">
        <v>1673914.1491263509</v>
      </c>
    </row>
    <row r="7" spans="1:14" x14ac:dyDescent="0.3">
      <c r="A7" s="51">
        <v>6</v>
      </c>
      <c r="B7" s="52">
        <v>-0.01</v>
      </c>
      <c r="C7" s="52">
        <v>-0.06</v>
      </c>
      <c r="D7" s="52">
        <v>0.03</v>
      </c>
      <c r="E7" s="52">
        <v>-0.05</v>
      </c>
      <c r="F7" s="52">
        <v>7.0000000000000007E-2</v>
      </c>
      <c r="G7" s="52">
        <v>-0.05</v>
      </c>
      <c r="H7" s="52">
        <v>7.0000000000000007E-2</v>
      </c>
      <c r="I7" s="52">
        <v>-0.01</v>
      </c>
      <c r="J7" s="53">
        <v>0.02</v>
      </c>
      <c r="K7" s="62">
        <v>1927355.6301857703</v>
      </c>
      <c r="L7" s="62">
        <v>1927355.6301857703</v>
      </c>
      <c r="M7" s="62">
        <v>1886603.8448321659</v>
      </c>
      <c r="N7" s="62">
        <v>1728139.4639286008</v>
      </c>
    </row>
    <row r="8" spans="1:14" x14ac:dyDescent="0.3">
      <c r="A8" s="51">
        <v>7</v>
      </c>
      <c r="B8" s="52">
        <v>0.02</v>
      </c>
      <c r="C8" s="52">
        <v>0.06</v>
      </c>
      <c r="D8" s="52">
        <v>0.05</v>
      </c>
      <c r="E8" s="52">
        <v>0.05</v>
      </c>
      <c r="F8" s="52">
        <v>0.02</v>
      </c>
      <c r="G8" s="52">
        <v>0.03</v>
      </c>
      <c r="H8" s="52">
        <v>-0.01</v>
      </c>
      <c r="I8" s="52">
        <v>0.03</v>
      </c>
      <c r="J8" s="53">
        <v>-0.02</v>
      </c>
      <c r="K8" s="62">
        <v>1949018.0991603094</v>
      </c>
      <c r="L8" s="62">
        <v>1949018.0991603094</v>
      </c>
      <c r="M8" s="62">
        <v>1973275.0040117605</v>
      </c>
      <c r="N8" s="62">
        <v>1690665.0950566509</v>
      </c>
    </row>
    <row r="9" spans="1:14" x14ac:dyDescent="0.3">
      <c r="A9" s="51">
        <v>8</v>
      </c>
      <c r="B9" s="52">
        <v>-0.02</v>
      </c>
      <c r="C9" s="52">
        <v>0.04</v>
      </c>
      <c r="D9" s="52">
        <v>0.01</v>
      </c>
      <c r="E9" s="52">
        <v>0.04</v>
      </c>
      <c r="F9" s="52">
        <v>0.02</v>
      </c>
      <c r="G9" s="52">
        <v>7.0000000000000007E-2</v>
      </c>
      <c r="H9" s="52">
        <v>-0.01</v>
      </c>
      <c r="I9" s="52">
        <v>-0.01</v>
      </c>
      <c r="J9" s="53">
        <v>-0.01</v>
      </c>
      <c r="K9" s="62">
        <v>1670963.4346592049</v>
      </c>
      <c r="L9" s="62">
        <v>1670963.4346592049</v>
      </c>
      <c r="M9" s="62">
        <v>1728151.5871495898</v>
      </c>
      <c r="N9" s="62">
        <v>1688152.7968942509</v>
      </c>
    </row>
    <row r="10" spans="1:14" x14ac:dyDescent="0.3">
      <c r="A10" s="51">
        <v>9</v>
      </c>
      <c r="B10" s="52">
        <v>-0.02</v>
      </c>
      <c r="C10" s="52">
        <v>-0.08</v>
      </c>
      <c r="D10" s="52">
        <v>7.0000000000000007E-2</v>
      </c>
      <c r="E10" s="52">
        <v>-0.06</v>
      </c>
      <c r="F10" s="52">
        <v>0.03</v>
      </c>
      <c r="G10" s="52">
        <v>0.01</v>
      </c>
      <c r="H10" s="52">
        <v>-0.02</v>
      </c>
      <c r="I10" s="52">
        <v>0.05</v>
      </c>
      <c r="J10" s="53">
        <v>-0.02</v>
      </c>
      <c r="K10" s="62">
        <v>2156709.8504695427</v>
      </c>
      <c r="L10" s="62">
        <v>2156709.8504695427</v>
      </c>
      <c r="M10" s="62">
        <v>2165740.2482444132</v>
      </c>
      <c r="N10" s="62">
        <v>1754998.0278777108</v>
      </c>
    </row>
    <row r="11" spans="1:14" x14ac:dyDescent="0.3">
      <c r="A11" s="51">
        <v>10</v>
      </c>
      <c r="B11" s="52">
        <v>0.06</v>
      </c>
      <c r="C11" s="52">
        <v>-0.02</v>
      </c>
      <c r="D11" s="52">
        <v>0.06</v>
      </c>
      <c r="E11" s="52">
        <v>-0.04</v>
      </c>
      <c r="F11" s="52">
        <v>-0.02</v>
      </c>
      <c r="G11" s="52">
        <v>0.06</v>
      </c>
      <c r="H11" s="52">
        <v>0.08</v>
      </c>
      <c r="I11" s="52">
        <v>0.02</v>
      </c>
      <c r="J11" s="53">
        <v>0.02</v>
      </c>
      <c r="K11" s="62">
        <v>2085221.2121594979</v>
      </c>
      <c r="L11" s="62">
        <v>2085221.2121594979</v>
      </c>
      <c r="M11" s="62">
        <v>2135423.0211301809</v>
      </c>
      <c r="N11" s="62">
        <v>1789535.488751451</v>
      </c>
    </row>
    <row r="12" spans="1:14" x14ac:dyDescent="0.3">
      <c r="A12" s="51">
        <v>11</v>
      </c>
      <c r="B12" s="52">
        <v>0.03</v>
      </c>
      <c r="C12" s="52">
        <v>-0.03</v>
      </c>
      <c r="D12" s="52">
        <v>-0.01</v>
      </c>
      <c r="E12" s="52">
        <v>-0.04</v>
      </c>
      <c r="F12" s="52">
        <v>0.02</v>
      </c>
      <c r="G12" s="52">
        <v>-0.01</v>
      </c>
      <c r="H12" s="52">
        <v>7.0000000000000007E-2</v>
      </c>
      <c r="I12" s="52">
        <v>7.0000000000000007E-2</v>
      </c>
      <c r="J12" s="53">
        <v>0.01</v>
      </c>
      <c r="K12" s="62">
        <v>1694185.8235490648</v>
      </c>
      <c r="L12" s="62">
        <v>1694185.8235490648</v>
      </c>
      <c r="M12" s="62">
        <v>1681786.9892776478</v>
      </c>
      <c r="N12" s="62">
        <v>1756367.6020065509</v>
      </c>
    </row>
    <row r="13" spans="1:14" x14ac:dyDescent="0.3">
      <c r="A13" s="51">
        <v>12</v>
      </c>
      <c r="B13" s="52">
        <v>-0.02</v>
      </c>
      <c r="C13" s="52">
        <v>-0.03</v>
      </c>
      <c r="D13" s="52">
        <v>0.05</v>
      </c>
      <c r="E13" s="52">
        <v>0.05</v>
      </c>
      <c r="F13" s="52">
        <v>0.06</v>
      </c>
      <c r="G13" s="52">
        <v>0.01</v>
      </c>
      <c r="H13" s="52">
        <v>0.01</v>
      </c>
      <c r="I13" s="52">
        <v>-0.02</v>
      </c>
      <c r="J13" s="53">
        <v>-0.01</v>
      </c>
      <c r="K13" s="62">
        <v>1986288.9065854521</v>
      </c>
      <c r="L13" s="62">
        <v>1986288.9065854521</v>
      </c>
      <c r="M13" s="62">
        <v>1993554.0205598101</v>
      </c>
      <c r="N13" s="62">
        <v>1710944.1116047008</v>
      </c>
    </row>
    <row r="14" spans="1:14" x14ac:dyDescent="0.3">
      <c r="A14" s="51">
        <v>13</v>
      </c>
      <c r="B14" s="52">
        <v>0.01</v>
      </c>
      <c r="C14" s="52">
        <v>0.02</v>
      </c>
      <c r="D14" s="52">
        <v>-0.01</v>
      </c>
      <c r="E14" s="52">
        <v>0.02</v>
      </c>
      <c r="F14" s="52">
        <v>0.01</v>
      </c>
      <c r="G14" s="52">
        <v>-0.02</v>
      </c>
      <c r="H14" s="52">
        <v>0.02</v>
      </c>
      <c r="I14" s="52">
        <v>7.0000000000000007E-2</v>
      </c>
      <c r="J14" s="53">
        <v>0.05</v>
      </c>
      <c r="K14" s="62">
        <v>1666126.1719974692</v>
      </c>
      <c r="L14" s="62">
        <v>1666126.1719974692</v>
      </c>
      <c r="M14" s="62">
        <v>1644739.3786026004</v>
      </c>
      <c r="N14" s="62">
        <v>1719044.5041606007</v>
      </c>
    </row>
    <row r="15" spans="1:14" x14ac:dyDescent="0.3">
      <c r="A15" s="51">
        <v>14</v>
      </c>
      <c r="B15" s="52">
        <v>0.01</v>
      </c>
      <c r="C15" s="52">
        <v>0.02</v>
      </c>
      <c r="D15" s="52">
        <v>-0.01</v>
      </c>
      <c r="E15" s="52">
        <v>-0.06</v>
      </c>
      <c r="F15" s="52">
        <v>0.04</v>
      </c>
      <c r="G15" s="52">
        <v>-0.03</v>
      </c>
      <c r="H15" s="52">
        <v>7.0000000000000007E-2</v>
      </c>
      <c r="I15" s="52">
        <v>-0.02</v>
      </c>
      <c r="J15" s="53">
        <v>0.02</v>
      </c>
      <c r="K15" s="62">
        <v>1659525.2894474072</v>
      </c>
      <c r="L15" s="62">
        <v>1659525.2894474072</v>
      </c>
      <c r="M15" s="62">
        <v>1631493.5839855596</v>
      </c>
      <c r="N15" s="62">
        <v>1706166.0772029008</v>
      </c>
    </row>
    <row r="16" spans="1:14" x14ac:dyDescent="0.3">
      <c r="A16" s="51">
        <v>15</v>
      </c>
      <c r="B16" s="52">
        <v>0.01</v>
      </c>
      <c r="C16" s="52">
        <v>7.0000000000000007E-2</v>
      </c>
      <c r="D16" s="52">
        <v>-0.02</v>
      </c>
      <c r="E16" s="52">
        <v>0.05</v>
      </c>
      <c r="F16" s="52">
        <v>0.03</v>
      </c>
      <c r="G16" s="52">
        <v>0.05</v>
      </c>
      <c r="H16" s="52">
        <v>0.01</v>
      </c>
      <c r="I16" s="52">
        <v>0.01</v>
      </c>
      <c r="J16" s="53">
        <v>0.06</v>
      </c>
      <c r="K16" s="62">
        <v>1508688.6590457002</v>
      </c>
      <c r="L16" s="62">
        <v>1508688.6590457002</v>
      </c>
      <c r="M16" s="62">
        <v>1544384.0037581478</v>
      </c>
      <c r="N16" s="62">
        <v>1673950.9978718506</v>
      </c>
    </row>
    <row r="17" spans="1:14" x14ac:dyDescent="0.3">
      <c r="A17" s="51">
        <v>16</v>
      </c>
      <c r="B17" s="52">
        <v>0.02</v>
      </c>
      <c r="C17" s="52">
        <v>-0.05</v>
      </c>
      <c r="D17" s="52">
        <v>0.03</v>
      </c>
      <c r="E17" s="52">
        <v>-0.03</v>
      </c>
      <c r="F17" s="52">
        <v>0.02</v>
      </c>
      <c r="G17" s="52">
        <v>-0.04</v>
      </c>
      <c r="H17" s="52">
        <v>7.0000000000000007E-2</v>
      </c>
      <c r="I17" s="52">
        <v>-0.02</v>
      </c>
      <c r="J17" s="53">
        <v>0.06</v>
      </c>
      <c r="K17" s="62">
        <v>1959945.4697650014</v>
      </c>
      <c r="L17" s="62">
        <v>1959945.4697650014</v>
      </c>
      <c r="M17" s="62">
        <v>1925388.2520306814</v>
      </c>
      <c r="N17" s="62">
        <v>1766832.0034990208</v>
      </c>
    </row>
    <row r="18" spans="1:14" x14ac:dyDescent="0.3">
      <c r="A18" s="51">
        <v>17</v>
      </c>
      <c r="B18" s="52">
        <v>0.01</v>
      </c>
      <c r="C18" s="52">
        <v>-7.0000000000000007E-2</v>
      </c>
      <c r="D18" s="52">
        <v>7.0000000000000007E-2</v>
      </c>
      <c r="E18" s="52">
        <v>-0.04</v>
      </c>
      <c r="F18" s="52">
        <v>0.05</v>
      </c>
      <c r="G18" s="52">
        <v>0.05</v>
      </c>
      <c r="H18" s="52">
        <v>0.06</v>
      </c>
      <c r="I18" s="52">
        <v>-0.02</v>
      </c>
      <c r="J18" s="53">
        <v>0.02</v>
      </c>
      <c r="K18" s="62">
        <v>2124460.8879392063</v>
      </c>
      <c r="L18" s="62">
        <v>2124460.8879392063</v>
      </c>
      <c r="M18" s="62">
        <v>2166350.3577234708</v>
      </c>
      <c r="N18" s="62">
        <v>1755516.2568683308</v>
      </c>
    </row>
    <row r="19" spans="1:14" x14ac:dyDescent="0.3">
      <c r="A19" s="51">
        <v>18</v>
      </c>
      <c r="B19" s="52">
        <v>-0.01</v>
      </c>
      <c r="C19" s="52">
        <v>0.02</v>
      </c>
      <c r="D19" s="52">
        <v>-0.01</v>
      </c>
      <c r="E19" s="52">
        <v>-0.03</v>
      </c>
      <c r="F19" s="52">
        <v>0.06</v>
      </c>
      <c r="G19" s="52">
        <v>0.03</v>
      </c>
      <c r="H19" s="52">
        <v>0.02</v>
      </c>
      <c r="I19" s="52">
        <v>-0.02</v>
      </c>
      <c r="J19" s="53">
        <v>0.04</v>
      </c>
      <c r="K19" s="62">
        <v>1589431.7487960828</v>
      </c>
      <c r="L19" s="62">
        <v>1589431.7487960828</v>
      </c>
      <c r="M19" s="62">
        <v>1608904.9456763286</v>
      </c>
      <c r="N19" s="62">
        <v>1683439.6278061008</v>
      </c>
    </row>
    <row r="20" spans="1:14" x14ac:dyDescent="0.3">
      <c r="A20" s="51">
        <v>19</v>
      </c>
      <c r="B20" s="52">
        <v>0.04</v>
      </c>
      <c r="C20" s="52">
        <v>7.0000000000000007E-2</v>
      </c>
      <c r="D20" s="52">
        <v>0.02</v>
      </c>
      <c r="E20" s="52">
        <v>0.02</v>
      </c>
      <c r="F20" s="52">
        <v>0.06</v>
      </c>
      <c r="G20" s="52">
        <v>0.05</v>
      </c>
      <c r="H20" s="52">
        <v>-0.01</v>
      </c>
      <c r="I20" s="52">
        <v>0.01</v>
      </c>
      <c r="J20" s="53">
        <v>0.05</v>
      </c>
      <c r="K20" s="62">
        <v>1730420.6244383703</v>
      </c>
      <c r="L20" s="62">
        <v>1730420.6244383703</v>
      </c>
      <c r="M20" s="62">
        <v>1768422.4431923011</v>
      </c>
      <c r="N20" s="62">
        <v>1669668.1262755007</v>
      </c>
    </row>
    <row r="21" spans="1:14" x14ac:dyDescent="0.3">
      <c r="A21" s="51">
        <v>20</v>
      </c>
      <c r="B21" s="52">
        <v>7.0000000000000007E-2</v>
      </c>
      <c r="C21" s="52">
        <v>0.05</v>
      </c>
      <c r="D21" s="52">
        <v>0.03</v>
      </c>
      <c r="E21" s="52">
        <v>-0.05</v>
      </c>
      <c r="F21" s="52">
        <v>0.03</v>
      </c>
      <c r="G21" s="52">
        <v>0.08</v>
      </c>
      <c r="H21" s="52">
        <v>0.05</v>
      </c>
      <c r="I21" s="52">
        <v>7.0000000000000007E-2</v>
      </c>
      <c r="J21" s="53">
        <v>0.05</v>
      </c>
      <c r="K21" s="62">
        <v>1809456.6706427226</v>
      </c>
      <c r="L21" s="62">
        <v>1809456.6706427226</v>
      </c>
      <c r="M21" s="62">
        <v>1875524.2601891761</v>
      </c>
      <c r="N21" s="62">
        <v>1717059.8792856107</v>
      </c>
    </row>
    <row r="22" spans="1:14" x14ac:dyDescent="0.3">
      <c r="A22" s="51">
        <v>21</v>
      </c>
      <c r="B22" s="52">
        <v>0.04</v>
      </c>
      <c r="C22" s="52">
        <v>-0.08</v>
      </c>
      <c r="D22" s="52">
        <v>0.04</v>
      </c>
      <c r="E22" s="52">
        <v>-0.03</v>
      </c>
      <c r="F22" s="52">
        <v>0.01</v>
      </c>
      <c r="G22" s="52">
        <v>0.03</v>
      </c>
      <c r="H22" s="52">
        <v>-0.01</v>
      </c>
      <c r="I22" s="52">
        <v>0.02</v>
      </c>
      <c r="J22" s="53">
        <v>0.04</v>
      </c>
      <c r="K22" s="62">
        <v>1993544.8392158519</v>
      </c>
      <c r="L22" s="62">
        <v>1993544.8392158519</v>
      </c>
      <c r="M22" s="62">
        <v>2015654.93758646</v>
      </c>
      <c r="N22" s="62">
        <v>1795865.3221435507</v>
      </c>
    </row>
    <row r="23" spans="1:14" x14ac:dyDescent="0.3">
      <c r="A23" s="51">
        <v>22</v>
      </c>
      <c r="B23" s="52">
        <v>0.05</v>
      </c>
      <c r="C23" s="52">
        <v>0.02</v>
      </c>
      <c r="D23" s="52">
        <v>0.03</v>
      </c>
      <c r="E23" s="52">
        <v>-0.04</v>
      </c>
      <c r="F23" s="52">
        <v>7.0000000000000007E-2</v>
      </c>
      <c r="G23" s="52">
        <v>0.01</v>
      </c>
      <c r="H23" s="52">
        <v>0.06</v>
      </c>
      <c r="I23" s="52">
        <v>-0.03</v>
      </c>
      <c r="J23" s="53">
        <v>-0.02</v>
      </c>
      <c r="K23" s="62">
        <v>1858986.1125766593</v>
      </c>
      <c r="L23" s="62">
        <v>1858986.1125766593</v>
      </c>
      <c r="M23" s="62">
        <v>1865568.8234616104</v>
      </c>
      <c r="N23" s="62">
        <v>1707058.505529081</v>
      </c>
    </row>
    <row r="24" spans="1:14" x14ac:dyDescent="0.3">
      <c r="A24" s="51">
        <v>23</v>
      </c>
      <c r="B24" s="52">
        <v>0.05</v>
      </c>
      <c r="C24" s="52">
        <v>-0.01</v>
      </c>
      <c r="D24" s="52">
        <v>0.04</v>
      </c>
      <c r="E24" s="52">
        <v>0.03</v>
      </c>
      <c r="F24" s="52">
        <v>-0.01</v>
      </c>
      <c r="G24" s="52">
        <v>0.03</v>
      </c>
      <c r="H24" s="52">
        <v>7.0000000000000007E-2</v>
      </c>
      <c r="I24" s="52">
        <v>0.02</v>
      </c>
      <c r="J24" s="53">
        <v>0.03</v>
      </c>
      <c r="K24" s="62">
        <v>1970270.3088103547</v>
      </c>
      <c r="L24" s="62">
        <v>1970270.3088103547</v>
      </c>
      <c r="M24" s="62">
        <v>1992533.5154213137</v>
      </c>
      <c r="N24" s="62">
        <v>1772468.451372331</v>
      </c>
    </row>
    <row r="25" spans="1:14" x14ac:dyDescent="0.3">
      <c r="A25" s="51">
        <v>24</v>
      </c>
      <c r="B25" s="52">
        <v>-0.01</v>
      </c>
      <c r="C25" s="52">
        <v>0.1</v>
      </c>
      <c r="D25" s="52">
        <v>0.03</v>
      </c>
      <c r="E25" s="52">
        <v>0.01</v>
      </c>
      <c r="F25" s="52">
        <v>0.04</v>
      </c>
      <c r="G25" s="52">
        <v>-0.05</v>
      </c>
      <c r="H25" s="52">
        <v>0.06</v>
      </c>
      <c r="I25" s="52">
        <v>0.01</v>
      </c>
      <c r="J25" s="53">
        <v>-0.03</v>
      </c>
      <c r="K25" s="62">
        <v>1835287.3075106242</v>
      </c>
      <c r="L25" s="62">
        <v>1835287.3075106242</v>
      </c>
      <c r="M25" s="62">
        <v>1795889.2283569667</v>
      </c>
      <c r="N25" s="62">
        <v>1637149.3217136208</v>
      </c>
    </row>
    <row r="26" spans="1:14" x14ac:dyDescent="0.3">
      <c r="A26" s="51">
        <v>25</v>
      </c>
      <c r="B26" s="52">
        <v>0.04</v>
      </c>
      <c r="C26" s="52">
        <v>-0.04</v>
      </c>
      <c r="D26" s="52">
        <v>0.01</v>
      </c>
      <c r="E26" s="52">
        <v>0.06</v>
      </c>
      <c r="F26" s="52">
        <v>0.02</v>
      </c>
      <c r="G26" s="52">
        <v>0.03</v>
      </c>
      <c r="H26" s="52">
        <v>0.05</v>
      </c>
      <c r="I26" s="52">
        <v>7.0000000000000007E-2</v>
      </c>
      <c r="J26" s="53">
        <v>0.02</v>
      </c>
      <c r="K26" s="62">
        <v>1786021.388903518</v>
      </c>
      <c r="L26" s="62">
        <v>1786021.388903518</v>
      </c>
      <c r="M26" s="62">
        <v>1806858.8122615842</v>
      </c>
      <c r="N26" s="62">
        <v>1766768.2700604908</v>
      </c>
    </row>
    <row r="27" spans="1:14" x14ac:dyDescent="0.3">
      <c r="A27" s="51">
        <v>26</v>
      </c>
      <c r="B27" s="52">
        <v>0.02</v>
      </c>
      <c r="C27" s="52">
        <v>-7.0000000000000007E-2</v>
      </c>
      <c r="D27" s="52">
        <v>0.04</v>
      </c>
      <c r="E27" s="52">
        <v>-0.06</v>
      </c>
      <c r="F27" s="52">
        <v>0.05</v>
      </c>
      <c r="G27" s="52">
        <v>0.01</v>
      </c>
      <c r="H27" s="52">
        <v>0.05</v>
      </c>
      <c r="I27" s="52">
        <v>0.06</v>
      </c>
      <c r="J27" s="53">
        <v>0.05</v>
      </c>
      <c r="K27" s="62">
        <v>1971509.2359617283</v>
      </c>
      <c r="L27" s="62">
        <v>1971509.2359617283</v>
      </c>
      <c r="M27" s="62">
        <v>1976721.3408536618</v>
      </c>
      <c r="N27" s="62">
        <v>1757069.5364983208</v>
      </c>
    </row>
    <row r="28" spans="1:14" x14ac:dyDescent="0.3">
      <c r="A28" s="51">
        <v>27</v>
      </c>
      <c r="B28" s="52">
        <v>0.06</v>
      </c>
      <c r="C28" s="52">
        <v>0.03</v>
      </c>
      <c r="D28" s="52">
        <v>0.03</v>
      </c>
      <c r="E28" s="52">
        <v>7.0000000000000007E-2</v>
      </c>
      <c r="F28" s="52">
        <v>-0.01</v>
      </c>
      <c r="G28" s="52">
        <v>0.03</v>
      </c>
      <c r="H28" s="52">
        <v>0.01</v>
      </c>
      <c r="I28" s="52">
        <v>0.03</v>
      </c>
      <c r="J28" s="53">
        <v>-0.02</v>
      </c>
      <c r="K28" s="62">
        <v>1885026.0152565935</v>
      </c>
      <c r="L28" s="62">
        <v>1885026.0152565935</v>
      </c>
      <c r="M28" s="62">
        <v>1908083.9226745931</v>
      </c>
      <c r="N28" s="62">
        <v>1749068.7216440008</v>
      </c>
    </row>
    <row r="29" spans="1:14" x14ac:dyDescent="0.3">
      <c r="A29" s="51">
        <v>28</v>
      </c>
      <c r="B29" s="52">
        <v>7.0000000000000007E-2</v>
      </c>
      <c r="C29" s="52">
        <v>-0.05</v>
      </c>
      <c r="D29" s="52">
        <v>-0.01</v>
      </c>
      <c r="E29" s="52">
        <v>-0.06</v>
      </c>
      <c r="F29" s="52">
        <v>0.02</v>
      </c>
      <c r="G29" s="52">
        <v>-0.04</v>
      </c>
      <c r="H29" s="52">
        <v>-0.02</v>
      </c>
      <c r="I29" s="52">
        <v>-0.01</v>
      </c>
      <c r="J29" s="53">
        <v>0.04</v>
      </c>
      <c r="K29" s="62">
        <v>1750510.7144955532</v>
      </c>
      <c r="L29" s="62">
        <v>1750510.7144955532</v>
      </c>
      <c r="M29" s="62">
        <v>1714470.4323559296</v>
      </c>
      <c r="N29" s="62">
        <v>1789142.9255732705</v>
      </c>
    </row>
    <row r="30" spans="1:14" x14ac:dyDescent="0.3">
      <c r="A30" s="51">
        <v>29</v>
      </c>
      <c r="B30" s="52">
        <v>0.08</v>
      </c>
      <c r="C30" s="52">
        <v>0.03</v>
      </c>
      <c r="D30" s="52">
        <v>0.04</v>
      </c>
      <c r="E30" s="52">
        <v>0.02</v>
      </c>
      <c r="F30" s="52">
        <v>7.0000000000000007E-2</v>
      </c>
      <c r="G30" s="52">
        <v>-0.01</v>
      </c>
      <c r="H30" s="52">
        <v>-0.01</v>
      </c>
      <c r="I30" s="52">
        <v>0.06</v>
      </c>
      <c r="J30" s="53">
        <v>0.02</v>
      </c>
      <c r="K30" s="62">
        <v>1940966.9501498712</v>
      </c>
      <c r="L30" s="62">
        <v>1940966.9501498712</v>
      </c>
      <c r="M30" s="62">
        <v>1930804.3884722819</v>
      </c>
      <c r="N30" s="62">
        <v>1710785.2164576007</v>
      </c>
    </row>
    <row r="31" spans="1:14" x14ac:dyDescent="0.3">
      <c r="A31" s="51">
        <v>30</v>
      </c>
      <c r="B31" s="52">
        <v>0.02</v>
      </c>
      <c r="C31" s="52">
        <v>0.03</v>
      </c>
      <c r="D31" s="52">
        <v>0.04</v>
      </c>
      <c r="E31" s="52">
        <v>-0.01</v>
      </c>
      <c r="F31" s="52">
        <v>-0.02</v>
      </c>
      <c r="G31" s="52">
        <v>-0.06</v>
      </c>
      <c r="H31" s="52">
        <v>0.04</v>
      </c>
      <c r="I31" s="52">
        <v>-0.02</v>
      </c>
      <c r="J31" s="53">
        <v>-0.01</v>
      </c>
      <c r="K31" s="62">
        <v>2003626.7072109804</v>
      </c>
      <c r="L31" s="62">
        <v>2003626.7072109804</v>
      </c>
      <c r="M31" s="62">
        <v>1957073.2326102704</v>
      </c>
      <c r="N31" s="62">
        <v>1737191.7752559008</v>
      </c>
    </row>
    <row r="32" spans="1:14" x14ac:dyDescent="0.3">
      <c r="A32" s="51">
        <v>31</v>
      </c>
      <c r="B32" s="52">
        <v>0.05</v>
      </c>
      <c r="C32" s="52">
        <v>0.03</v>
      </c>
      <c r="D32" s="52">
        <v>0.06</v>
      </c>
      <c r="E32" s="52">
        <v>-0.01</v>
      </c>
      <c r="F32" s="52">
        <v>-0.02</v>
      </c>
      <c r="G32" s="52">
        <v>0.02</v>
      </c>
      <c r="H32" s="52">
        <v>-0.01</v>
      </c>
      <c r="I32" s="52">
        <v>7.0000000000000007E-2</v>
      </c>
      <c r="J32" s="53">
        <v>0.02</v>
      </c>
      <c r="K32" s="62">
        <v>2077975.9427045663</v>
      </c>
      <c r="L32" s="62">
        <v>2077975.9427045663</v>
      </c>
      <c r="M32" s="62">
        <v>2093368.684194752</v>
      </c>
      <c r="N32" s="62">
        <v>1747343.3793054307</v>
      </c>
    </row>
    <row r="33" spans="1:14" x14ac:dyDescent="0.3">
      <c r="A33" s="51">
        <v>32</v>
      </c>
      <c r="B33" s="52">
        <v>7.0000000000000007E-2</v>
      </c>
      <c r="C33" s="52">
        <v>-0.03</v>
      </c>
      <c r="D33" s="52">
        <v>0.05</v>
      </c>
      <c r="E33" s="52">
        <v>0.06</v>
      </c>
      <c r="F33" s="52">
        <v>0.05</v>
      </c>
      <c r="G33" s="52">
        <v>0.01</v>
      </c>
      <c r="H33" s="52">
        <v>0.02</v>
      </c>
      <c r="I33" s="52">
        <v>0.06</v>
      </c>
      <c r="J33" s="53">
        <v>-0.03</v>
      </c>
      <c r="K33" s="62">
        <v>2032551.1985789253</v>
      </c>
      <c r="L33" s="62">
        <v>2032551.1985789253</v>
      </c>
      <c r="M33" s="62">
        <v>2040403.3309712368</v>
      </c>
      <c r="N33" s="62">
        <v>1757747.5492551306</v>
      </c>
    </row>
    <row r="34" spans="1:14" x14ac:dyDescent="0.3">
      <c r="A34" s="51">
        <v>33</v>
      </c>
      <c r="B34" s="52">
        <v>-0.01</v>
      </c>
      <c r="C34" s="52">
        <v>0.1</v>
      </c>
      <c r="D34" s="52">
        <v>0.04</v>
      </c>
      <c r="E34" s="52">
        <v>0.01</v>
      </c>
      <c r="F34" s="52">
        <v>-0.03</v>
      </c>
      <c r="G34" s="52">
        <v>0.04</v>
      </c>
      <c r="H34" s="52">
        <v>0.05</v>
      </c>
      <c r="I34" s="52">
        <v>0.02</v>
      </c>
      <c r="J34" s="53">
        <v>-0.03</v>
      </c>
      <c r="K34" s="62">
        <v>1863090.0394446263</v>
      </c>
      <c r="L34" s="62">
        <v>1863090.0394446263</v>
      </c>
      <c r="M34" s="62">
        <v>1895741.0414065556</v>
      </c>
      <c r="N34" s="62">
        <v>1675767.7678519608</v>
      </c>
    </row>
    <row r="35" spans="1:14" x14ac:dyDescent="0.3">
      <c r="A35" s="51">
        <v>34</v>
      </c>
      <c r="B35" s="52">
        <v>7.0000000000000007E-2</v>
      </c>
      <c r="C35" s="52">
        <v>0.06</v>
      </c>
      <c r="D35" s="52">
        <v>0.05</v>
      </c>
      <c r="E35" s="52">
        <v>0.03</v>
      </c>
      <c r="F35" s="52">
        <v>-0.01</v>
      </c>
      <c r="G35" s="52">
        <v>7.0000000000000007E-2</v>
      </c>
      <c r="H35" s="52">
        <v>0.04</v>
      </c>
      <c r="I35" s="52">
        <v>0.06</v>
      </c>
      <c r="J35" s="53">
        <v>0.06</v>
      </c>
      <c r="K35" s="62">
        <v>1957596.0443518027</v>
      </c>
      <c r="L35" s="62">
        <v>1957596.0443518027</v>
      </c>
      <c r="M35" s="62">
        <v>2015099.3659733601</v>
      </c>
      <c r="N35" s="62">
        <v>1732581.2218122007</v>
      </c>
    </row>
    <row r="36" spans="1:14" x14ac:dyDescent="0.3">
      <c r="A36" s="51">
        <v>35</v>
      </c>
      <c r="B36" s="52">
        <v>0.05</v>
      </c>
      <c r="C36" s="52">
        <v>0.01</v>
      </c>
      <c r="D36" s="52">
        <v>0.02</v>
      </c>
      <c r="E36" s="52">
        <v>0.04</v>
      </c>
      <c r="F36" s="52">
        <v>0.02</v>
      </c>
      <c r="G36" s="52">
        <v>-0.05</v>
      </c>
      <c r="H36" s="52">
        <v>-0.01</v>
      </c>
      <c r="I36" s="52">
        <v>0.06</v>
      </c>
      <c r="J36" s="53">
        <v>-0.02</v>
      </c>
      <c r="K36" s="62">
        <v>1878227.7156846821</v>
      </c>
      <c r="L36" s="62">
        <v>1878227.7156846821</v>
      </c>
      <c r="M36" s="62">
        <v>1837916.5552901253</v>
      </c>
      <c r="N36" s="62">
        <v>1739070.4607298309</v>
      </c>
    </row>
    <row r="37" spans="1:14" x14ac:dyDescent="0.3">
      <c r="A37" s="51">
        <v>36</v>
      </c>
      <c r="B37" s="52">
        <v>0.04</v>
      </c>
      <c r="C37" s="52">
        <v>-0.02</v>
      </c>
      <c r="D37" s="52">
        <v>0.05</v>
      </c>
      <c r="E37" s="52">
        <v>7.0000000000000007E-2</v>
      </c>
      <c r="F37" s="52">
        <v>0.04</v>
      </c>
      <c r="G37" s="52">
        <v>-0.06</v>
      </c>
      <c r="H37" s="52">
        <v>7.0000000000000007E-2</v>
      </c>
      <c r="I37" s="52">
        <v>0.01</v>
      </c>
      <c r="J37" s="53">
        <v>-0.02</v>
      </c>
      <c r="K37" s="62">
        <v>2074071.6010791007</v>
      </c>
      <c r="L37" s="62">
        <v>2074071.6010791007</v>
      </c>
      <c r="M37" s="62">
        <v>2028251.8985466687</v>
      </c>
      <c r="N37" s="62">
        <v>1745550.2504926508</v>
      </c>
    </row>
    <row r="38" spans="1:14" x14ac:dyDescent="0.3">
      <c r="A38" s="51">
        <v>37</v>
      </c>
      <c r="B38" s="52">
        <v>0.03</v>
      </c>
      <c r="C38" s="52">
        <v>0.03</v>
      </c>
      <c r="D38" s="52">
        <v>0.03</v>
      </c>
      <c r="E38" s="52">
        <v>-0.02</v>
      </c>
      <c r="F38" s="52">
        <v>7.0000000000000007E-2</v>
      </c>
      <c r="G38" s="52">
        <v>0.01</v>
      </c>
      <c r="H38" s="52">
        <v>0.05</v>
      </c>
      <c r="I38" s="52">
        <v>0.05</v>
      </c>
      <c r="J38" s="53">
        <v>0.05</v>
      </c>
      <c r="K38" s="62">
        <v>1841279.0713596758</v>
      </c>
      <c r="L38" s="62">
        <v>1841279.0713596758</v>
      </c>
      <c r="M38" s="62">
        <v>1845843.3717778833</v>
      </c>
      <c r="N38" s="62">
        <v>1687241.1990762507</v>
      </c>
    </row>
    <row r="39" spans="1:14" x14ac:dyDescent="0.3">
      <c r="A39" s="51">
        <v>38</v>
      </c>
      <c r="B39" s="52">
        <v>0.06</v>
      </c>
      <c r="C39" s="52">
        <v>0.02</v>
      </c>
      <c r="D39" s="52">
        <v>-0.02</v>
      </c>
      <c r="E39" s="52">
        <v>0.04</v>
      </c>
      <c r="F39" s="52">
        <v>0.01</v>
      </c>
      <c r="G39" s="52">
        <v>0.08</v>
      </c>
      <c r="H39" s="52">
        <v>7.0000000000000007E-2</v>
      </c>
      <c r="I39" s="52">
        <v>0.04</v>
      </c>
      <c r="J39" s="53">
        <v>-0.02</v>
      </c>
      <c r="K39" s="62">
        <v>1551082.5745447003</v>
      </c>
      <c r="L39" s="62">
        <v>1551082.5745447003</v>
      </c>
      <c r="M39" s="62">
        <v>1616416.9557810901</v>
      </c>
      <c r="N39" s="62">
        <v>1746029.8290795507</v>
      </c>
    </row>
    <row r="40" spans="1:14" x14ac:dyDescent="0.3">
      <c r="A40" s="51">
        <v>39</v>
      </c>
      <c r="B40" s="52">
        <v>-0.01</v>
      </c>
      <c r="C40" s="52">
        <v>0.06</v>
      </c>
      <c r="D40" s="52">
        <v>0.04</v>
      </c>
      <c r="E40" s="52">
        <v>0.01</v>
      </c>
      <c r="F40" s="52">
        <v>-0.02</v>
      </c>
      <c r="G40" s="52">
        <v>-0.04</v>
      </c>
      <c r="H40" s="52">
        <v>0.04</v>
      </c>
      <c r="I40" s="52">
        <v>0.01</v>
      </c>
      <c r="J40" s="53">
        <v>0.03</v>
      </c>
      <c r="K40" s="62">
        <v>1954246.8224519831</v>
      </c>
      <c r="L40" s="62">
        <v>1954246.8224519831</v>
      </c>
      <c r="M40" s="62">
        <v>1920976.7580422955</v>
      </c>
      <c r="N40" s="62">
        <v>1701003.484487701</v>
      </c>
    </row>
    <row r="41" spans="1:14" x14ac:dyDescent="0.3">
      <c r="A41" s="51">
        <v>40</v>
      </c>
      <c r="B41" s="52">
        <v>0.05</v>
      </c>
      <c r="C41" s="52">
        <v>0.04</v>
      </c>
      <c r="D41" s="52">
        <v>0.03</v>
      </c>
      <c r="E41" s="52">
        <v>0.05</v>
      </c>
      <c r="F41" s="52">
        <v>0.02</v>
      </c>
      <c r="G41" s="52">
        <v>-0.02</v>
      </c>
      <c r="H41" s="52">
        <v>0.01</v>
      </c>
      <c r="I41" s="52">
        <v>0.06</v>
      </c>
      <c r="J41" s="53">
        <v>0.06</v>
      </c>
      <c r="K41" s="62">
        <v>1897625.2692928687</v>
      </c>
      <c r="L41" s="62">
        <v>1897625.2692928687</v>
      </c>
      <c r="M41" s="62">
        <v>1877987.2992486644</v>
      </c>
      <c r="N41" s="62">
        <v>1719063.8373169806</v>
      </c>
    </row>
    <row r="42" spans="1:14" x14ac:dyDescent="0.3">
      <c r="A42" s="51">
        <v>41</v>
      </c>
      <c r="B42" s="52">
        <v>-0.02</v>
      </c>
      <c r="C42" s="52">
        <v>-0.06</v>
      </c>
      <c r="D42" s="52">
        <v>0.06</v>
      </c>
      <c r="E42" s="52">
        <v>-0.05</v>
      </c>
      <c r="F42" s="52">
        <v>-7.0000000000000007E-2</v>
      </c>
      <c r="G42" s="52">
        <v>-0.02</v>
      </c>
      <c r="H42" s="52">
        <v>0.03</v>
      </c>
      <c r="I42" s="52">
        <v>0.06</v>
      </c>
      <c r="J42" s="53">
        <v>-0.01</v>
      </c>
      <c r="K42" s="62">
        <v>2159509.4510142566</v>
      </c>
      <c r="L42" s="62">
        <v>2159509.4510142566</v>
      </c>
      <c r="M42" s="62">
        <v>2143779.7560005165</v>
      </c>
      <c r="N42" s="62">
        <v>1797938.1606507511</v>
      </c>
    </row>
    <row r="43" spans="1:14" x14ac:dyDescent="0.3">
      <c r="A43" s="51">
        <v>42</v>
      </c>
      <c r="B43" s="52">
        <v>0.01</v>
      </c>
      <c r="C43" s="52">
        <v>-0.01</v>
      </c>
      <c r="D43" s="52">
        <v>7.0000000000000007E-2</v>
      </c>
      <c r="E43" s="52">
        <v>0.06</v>
      </c>
      <c r="F43" s="52">
        <v>0.05</v>
      </c>
      <c r="G43" s="52">
        <v>0.04</v>
      </c>
      <c r="H43" s="52">
        <v>-0.04</v>
      </c>
      <c r="I43" s="52">
        <v>0.02</v>
      </c>
      <c r="J43" s="53">
        <v>-0.03</v>
      </c>
      <c r="K43" s="62">
        <v>2093139.2879583882</v>
      </c>
      <c r="L43" s="62">
        <v>2092532.6314128959</v>
      </c>
      <c r="M43" s="62">
        <v>2126924.648259222</v>
      </c>
      <c r="N43" s="62">
        <v>1715631.5306439307</v>
      </c>
    </row>
    <row r="44" spans="1:14" x14ac:dyDescent="0.3">
      <c r="A44" s="51">
        <v>43</v>
      </c>
      <c r="B44" s="52">
        <v>0.03</v>
      </c>
      <c r="C44" s="52">
        <v>0.05</v>
      </c>
      <c r="D44" s="52">
        <v>7.0000000000000007E-2</v>
      </c>
      <c r="E44" s="52">
        <v>0.06</v>
      </c>
      <c r="F44" s="52">
        <v>0.01</v>
      </c>
      <c r="G44" s="52">
        <v>-0.06</v>
      </c>
      <c r="H44" s="52">
        <v>0.05</v>
      </c>
      <c r="I44" s="52">
        <v>-0.01</v>
      </c>
      <c r="J44" s="53">
        <v>0.04</v>
      </c>
      <c r="K44" s="62">
        <v>2168930.2342403112</v>
      </c>
      <c r="L44" s="62">
        <v>2168930.2342403112</v>
      </c>
      <c r="M44" s="62">
        <v>2122665.2833209019</v>
      </c>
      <c r="N44" s="62">
        <v>1711372.1657056108</v>
      </c>
    </row>
    <row r="45" spans="1:14" x14ac:dyDescent="0.3">
      <c r="A45" s="51">
        <v>44</v>
      </c>
      <c r="B45" s="52">
        <v>0.02</v>
      </c>
      <c r="C45" s="52">
        <v>0.06</v>
      </c>
      <c r="D45" s="52">
        <v>0.08</v>
      </c>
      <c r="E45" s="52">
        <v>7.0000000000000007E-2</v>
      </c>
      <c r="F45" s="52">
        <v>0.02</v>
      </c>
      <c r="G45" s="52">
        <v>7.0000000000000007E-2</v>
      </c>
      <c r="H45" s="52">
        <v>-0.01</v>
      </c>
      <c r="I45" s="52">
        <v>0.05</v>
      </c>
      <c r="J45" s="53">
        <v>0.05</v>
      </c>
      <c r="K45" s="62">
        <v>2107884.3028588262</v>
      </c>
      <c r="L45" s="62">
        <v>2107884.3028588262</v>
      </c>
      <c r="M45" s="62">
        <v>2167476.4936756622</v>
      </c>
      <c r="N45" s="62">
        <v>1689916.8868160108</v>
      </c>
    </row>
    <row r="46" spans="1:14" x14ac:dyDescent="0.3">
      <c r="A46" s="51">
        <v>45</v>
      </c>
      <c r="B46" s="52">
        <v>0.04</v>
      </c>
      <c r="C46" s="52">
        <v>0.06</v>
      </c>
      <c r="D46" s="52">
        <v>0.06</v>
      </c>
      <c r="E46" s="52">
        <v>0.04</v>
      </c>
      <c r="F46" s="52">
        <v>0.04</v>
      </c>
      <c r="G46" s="52">
        <v>-0.04</v>
      </c>
      <c r="H46" s="52">
        <v>7.0000000000000007E-2</v>
      </c>
      <c r="I46" s="52">
        <v>0.01</v>
      </c>
      <c r="J46" s="53">
        <v>0.05</v>
      </c>
      <c r="K46" s="62">
        <v>2070307.7162056891</v>
      </c>
      <c r="L46" s="62">
        <v>2070307.7162056891</v>
      </c>
      <c r="M46" s="62">
        <v>2037645.5837561777</v>
      </c>
      <c r="N46" s="62">
        <v>1691390.7865630507</v>
      </c>
    </row>
    <row r="47" spans="1:14" x14ac:dyDescent="0.3">
      <c r="A47" s="51">
        <v>46</v>
      </c>
      <c r="B47" s="52">
        <v>-0.02</v>
      </c>
      <c r="C47" s="52">
        <v>0.02</v>
      </c>
      <c r="D47" s="52">
        <v>0.01</v>
      </c>
      <c r="E47" s="52">
        <v>0.03</v>
      </c>
      <c r="F47" s="52">
        <v>-0.01</v>
      </c>
      <c r="G47" s="52">
        <v>0.06</v>
      </c>
      <c r="H47" s="52">
        <v>0.06</v>
      </c>
      <c r="I47" s="52">
        <v>-0.02</v>
      </c>
      <c r="J47" s="53">
        <v>0.06</v>
      </c>
      <c r="K47" s="62">
        <v>1714718.0321571645</v>
      </c>
      <c r="L47" s="62">
        <v>1714718.0321571645</v>
      </c>
      <c r="M47" s="62">
        <v>1760861.0913556973</v>
      </c>
      <c r="N47" s="62">
        <v>1720908.1867095507</v>
      </c>
    </row>
    <row r="48" spans="1:14" x14ac:dyDescent="0.3">
      <c r="A48" s="51">
        <v>47</v>
      </c>
      <c r="B48" s="52">
        <v>7.0000000000000007E-2</v>
      </c>
      <c r="C48" s="52">
        <v>-0.01</v>
      </c>
      <c r="D48" s="52">
        <v>0.01</v>
      </c>
      <c r="E48" s="52">
        <v>0.08</v>
      </c>
      <c r="F48" s="52">
        <v>0.01</v>
      </c>
      <c r="G48" s="52">
        <v>0.03</v>
      </c>
      <c r="H48" s="52">
        <v>-0.01</v>
      </c>
      <c r="I48" s="52">
        <v>7.0000000000000007E-2</v>
      </c>
      <c r="J48" s="53">
        <v>7.0000000000000007E-2</v>
      </c>
      <c r="K48" s="62">
        <v>1788390.7081927364</v>
      </c>
      <c r="L48" s="62">
        <v>1788390.7081927364</v>
      </c>
      <c r="M48" s="62">
        <v>1807860.4497107561</v>
      </c>
      <c r="N48" s="62">
        <v>1767678.1812562507</v>
      </c>
    </row>
    <row r="49" spans="1:14" x14ac:dyDescent="0.3">
      <c r="A49" s="51">
        <v>48</v>
      </c>
      <c r="B49" s="52">
        <v>-0.02</v>
      </c>
      <c r="C49" s="52">
        <v>-0.05</v>
      </c>
      <c r="D49" s="52">
        <v>0.03</v>
      </c>
      <c r="E49" s="52">
        <v>-0.06</v>
      </c>
      <c r="F49" s="52">
        <v>0.03</v>
      </c>
      <c r="G49" s="52">
        <v>-0.04</v>
      </c>
      <c r="H49" s="52">
        <v>-0.01</v>
      </c>
      <c r="I49" s="52">
        <v>0.04</v>
      </c>
      <c r="J49" s="53">
        <v>-0.01</v>
      </c>
      <c r="K49" s="62">
        <v>1929501.4316380601</v>
      </c>
      <c r="L49" s="62">
        <v>1929501.4316380601</v>
      </c>
      <c r="M49" s="62">
        <v>1896942.1945940128</v>
      </c>
      <c r="N49" s="62">
        <v>1738523.7571499208</v>
      </c>
    </row>
    <row r="50" spans="1:14" x14ac:dyDescent="0.3">
      <c r="A50" s="51">
        <v>49</v>
      </c>
      <c r="B50" s="52">
        <v>0.02</v>
      </c>
      <c r="C50" s="52">
        <v>7.0000000000000007E-2</v>
      </c>
      <c r="D50" s="52">
        <v>-0.01</v>
      </c>
      <c r="E50" s="52">
        <v>0.05</v>
      </c>
      <c r="F50" s="52">
        <v>-0.01</v>
      </c>
      <c r="G50" s="52">
        <v>0.04</v>
      </c>
      <c r="H50" s="52">
        <v>0.02</v>
      </c>
      <c r="I50" s="52">
        <v>0.04</v>
      </c>
      <c r="J50" s="53">
        <v>0.03</v>
      </c>
      <c r="K50" s="62">
        <v>1598109.1770443772</v>
      </c>
      <c r="L50" s="62">
        <v>1598109.1770443772</v>
      </c>
      <c r="M50" s="62">
        <v>1626296.0178666518</v>
      </c>
      <c r="N50" s="62">
        <v>1700463.4865964006</v>
      </c>
    </row>
    <row r="51" spans="1:14" x14ac:dyDescent="0.3">
      <c r="A51" s="51">
        <v>50</v>
      </c>
      <c r="B51" s="52">
        <v>0.04</v>
      </c>
      <c r="C51" s="52">
        <v>-0.03</v>
      </c>
      <c r="D51" s="52">
        <v>0.05</v>
      </c>
      <c r="E51" s="52">
        <v>-0.04</v>
      </c>
      <c r="F51" s="52">
        <v>-0.01</v>
      </c>
      <c r="G51" s="52">
        <v>0.06</v>
      </c>
      <c r="H51" s="52">
        <v>-0.02</v>
      </c>
      <c r="I51" s="52">
        <v>0.06</v>
      </c>
      <c r="J51" s="53">
        <v>0.03</v>
      </c>
      <c r="K51" s="62">
        <v>2009028.0747667183</v>
      </c>
      <c r="L51" s="62">
        <v>2009028.0747667183</v>
      </c>
      <c r="M51" s="62">
        <v>2058340.1468671556</v>
      </c>
      <c r="N51" s="62">
        <v>1776143.3819112009</v>
      </c>
    </row>
    <row r="52" spans="1:14" x14ac:dyDescent="0.3">
      <c r="A52" s="51">
        <v>51</v>
      </c>
      <c r="B52" s="52">
        <v>0.03</v>
      </c>
      <c r="C52" s="52">
        <v>0.06</v>
      </c>
      <c r="D52" s="52">
        <v>-0.02</v>
      </c>
      <c r="E52" s="52">
        <v>-0.03</v>
      </c>
      <c r="F52" s="52">
        <v>7.0000000000000007E-2</v>
      </c>
      <c r="G52" s="52">
        <v>-0.02</v>
      </c>
      <c r="H52" s="52">
        <v>-0.02</v>
      </c>
      <c r="I52" s="52">
        <v>0.05</v>
      </c>
      <c r="J52" s="53">
        <v>7.0000000000000007E-2</v>
      </c>
      <c r="K52" s="62">
        <v>1556485.545169502</v>
      </c>
      <c r="L52" s="62">
        <v>1556485.545169502</v>
      </c>
      <c r="M52" s="62">
        <v>1534215.0569154345</v>
      </c>
      <c r="N52" s="62">
        <v>1664149.2644291609</v>
      </c>
    </row>
    <row r="53" spans="1:14" x14ac:dyDescent="0.3">
      <c r="A53" s="51">
        <v>52</v>
      </c>
      <c r="B53" s="52">
        <v>0.06</v>
      </c>
      <c r="C53" s="52">
        <v>0.06</v>
      </c>
      <c r="D53" s="52">
        <v>-0.02</v>
      </c>
      <c r="E53" s="52">
        <v>-0.04</v>
      </c>
      <c r="F53" s="52">
        <v>-0.02</v>
      </c>
      <c r="G53" s="52">
        <v>0.05</v>
      </c>
      <c r="H53" s="52">
        <v>-0.02</v>
      </c>
      <c r="I53" s="52">
        <v>0.03</v>
      </c>
      <c r="J53" s="53">
        <v>0.05</v>
      </c>
      <c r="K53" s="62">
        <v>1566290.3157307915</v>
      </c>
      <c r="L53" s="62">
        <v>1566290.3157307915</v>
      </c>
      <c r="M53" s="62">
        <v>1602422.8303377933</v>
      </c>
      <c r="N53" s="62">
        <v>1732402.9684506508</v>
      </c>
    </row>
    <row r="54" spans="1:14" x14ac:dyDescent="0.3">
      <c r="A54" s="51">
        <v>53</v>
      </c>
      <c r="B54" s="52">
        <v>0.01</v>
      </c>
      <c r="C54" s="52">
        <v>0.04</v>
      </c>
      <c r="D54" s="52">
        <v>0.04</v>
      </c>
      <c r="E54" s="52">
        <v>0.03</v>
      </c>
      <c r="F54" s="52">
        <v>-0.02</v>
      </c>
      <c r="G54" s="52">
        <v>0.01</v>
      </c>
      <c r="H54" s="52">
        <v>0.02</v>
      </c>
      <c r="I54" s="52">
        <v>0.01</v>
      </c>
      <c r="J54" s="53">
        <v>-0.02</v>
      </c>
      <c r="K54" s="62">
        <v>1937020.7001754171</v>
      </c>
      <c r="L54" s="62">
        <v>1937020.7001754171</v>
      </c>
      <c r="M54" s="62">
        <v>1944034.6611250837</v>
      </c>
      <c r="N54" s="62">
        <v>1723969.5970761005</v>
      </c>
    </row>
    <row r="55" spans="1:14" x14ac:dyDescent="0.3">
      <c r="A55" s="51">
        <v>54</v>
      </c>
      <c r="B55" s="52">
        <v>0.04</v>
      </c>
      <c r="C55" s="52">
        <v>-0.02</v>
      </c>
      <c r="D55" s="52">
        <v>0.09</v>
      </c>
      <c r="E55" s="52">
        <v>-0.03</v>
      </c>
      <c r="F55" s="52">
        <v>0.01</v>
      </c>
      <c r="G55" s="52">
        <v>0.01</v>
      </c>
      <c r="H55" s="52">
        <v>7.0000000000000007E-2</v>
      </c>
      <c r="I55" s="52">
        <v>0.06</v>
      </c>
      <c r="J55" s="53">
        <v>7.0000000000000007E-2</v>
      </c>
      <c r="K55" s="62">
        <v>2297985.8698272519</v>
      </c>
      <c r="L55" s="62">
        <v>2297985.8698272519</v>
      </c>
      <c r="M55" s="62">
        <v>2305804.4422833202</v>
      </c>
      <c r="N55" s="62">
        <v>1761190.717576351</v>
      </c>
    </row>
    <row r="56" spans="1:14" x14ac:dyDescent="0.3">
      <c r="A56" s="51">
        <v>55</v>
      </c>
      <c r="B56" s="52">
        <v>0.06</v>
      </c>
      <c r="C56" s="52">
        <v>-0.01</v>
      </c>
      <c r="D56" s="52">
        <v>-0.01</v>
      </c>
      <c r="E56" s="52">
        <v>0.02</v>
      </c>
      <c r="F56" s="52">
        <v>0.05</v>
      </c>
      <c r="G56" s="52">
        <v>7.0000000000000007E-2</v>
      </c>
      <c r="H56" s="52">
        <v>0.05</v>
      </c>
      <c r="I56" s="52">
        <v>0.06</v>
      </c>
      <c r="J56" s="53">
        <v>-0.01</v>
      </c>
      <c r="K56" s="62">
        <v>1610317.2839931734</v>
      </c>
      <c r="L56" s="62">
        <v>1610317.2839931734</v>
      </c>
      <c r="M56" s="62">
        <v>1666551.4978839206</v>
      </c>
      <c r="N56" s="62">
        <v>1740856.6234419206</v>
      </c>
    </row>
    <row r="57" spans="1:14" x14ac:dyDescent="0.3">
      <c r="A57" s="51">
        <v>56</v>
      </c>
      <c r="B57" s="52">
        <v>7.0000000000000007E-2</v>
      </c>
      <c r="C57" s="52">
        <v>0.09</v>
      </c>
      <c r="D57" s="52">
        <v>7.0000000000000007E-2</v>
      </c>
      <c r="E57" s="52">
        <v>0.01</v>
      </c>
      <c r="F57" s="52">
        <v>7.0000000000000007E-2</v>
      </c>
      <c r="G57" s="52">
        <v>0.05</v>
      </c>
      <c r="H57" s="52">
        <v>0.03</v>
      </c>
      <c r="I57" s="52">
        <v>0.06</v>
      </c>
      <c r="J57" s="53">
        <v>0.03</v>
      </c>
      <c r="K57" s="62">
        <v>2032127.741810828</v>
      </c>
      <c r="L57" s="62">
        <v>2032127.741810828</v>
      </c>
      <c r="M57" s="62">
        <v>2073641.982514607</v>
      </c>
      <c r="N57" s="62">
        <v>1662578.2929486507</v>
      </c>
    </row>
    <row r="58" spans="1:14" x14ac:dyDescent="0.3">
      <c r="A58" s="51">
        <v>57</v>
      </c>
      <c r="B58" s="52">
        <v>0.03</v>
      </c>
      <c r="C58" s="52">
        <v>0.09</v>
      </c>
      <c r="D58" s="52">
        <v>0.02</v>
      </c>
      <c r="E58" s="52">
        <v>-0.04</v>
      </c>
      <c r="F58" s="52">
        <v>0.02</v>
      </c>
      <c r="G58" s="52">
        <v>7.0000000000000007E-2</v>
      </c>
      <c r="H58" s="52">
        <v>7.0000000000000007E-2</v>
      </c>
      <c r="I58" s="52">
        <v>-0.01</v>
      </c>
      <c r="J58" s="53">
        <v>-0.01</v>
      </c>
      <c r="K58" s="62">
        <v>1716971.8278522731</v>
      </c>
      <c r="L58" s="62">
        <v>1716971.8278522731</v>
      </c>
      <c r="M58" s="62">
        <v>1774844.3041028487</v>
      </c>
      <c r="N58" s="62">
        <v>1676365.4743569507</v>
      </c>
    </row>
    <row r="59" spans="1:14" x14ac:dyDescent="0.3">
      <c r="A59" s="51">
        <v>58</v>
      </c>
      <c r="B59" s="52">
        <v>-0.02</v>
      </c>
      <c r="C59" s="52">
        <v>0.09</v>
      </c>
      <c r="D59" s="52">
        <v>7.0000000000000007E-2</v>
      </c>
      <c r="E59" s="52">
        <v>0.05</v>
      </c>
      <c r="F59" s="52">
        <v>0.05</v>
      </c>
      <c r="G59" s="52">
        <v>0.03</v>
      </c>
      <c r="H59" s="52">
        <v>0.04</v>
      </c>
      <c r="I59" s="52">
        <v>-0.03</v>
      </c>
      <c r="J59" s="53">
        <v>0.01</v>
      </c>
      <c r="K59" s="62">
        <v>2021916.7258588322</v>
      </c>
      <c r="L59" s="62">
        <v>2021916.7258588322</v>
      </c>
      <c r="M59" s="62">
        <v>2046539.2522691749</v>
      </c>
      <c r="N59" s="62">
        <v>1635292.0074148807</v>
      </c>
    </row>
    <row r="60" spans="1:14" x14ac:dyDescent="0.3">
      <c r="A60" s="51">
        <v>59</v>
      </c>
      <c r="B60" s="52">
        <v>0.04</v>
      </c>
      <c r="C60" s="52">
        <v>0.01</v>
      </c>
      <c r="D60" s="52">
        <v>7.0000000000000007E-2</v>
      </c>
      <c r="E60" s="52">
        <v>-0.03</v>
      </c>
      <c r="F60" s="52">
        <v>0.02</v>
      </c>
      <c r="G60" s="52">
        <v>-0.03</v>
      </c>
      <c r="H60" s="52">
        <v>0.05</v>
      </c>
      <c r="I60" s="52">
        <v>0.02</v>
      </c>
      <c r="J60" s="53">
        <v>-0.02</v>
      </c>
      <c r="K60" s="62">
        <v>2170437.5228004018</v>
      </c>
      <c r="L60" s="62">
        <v>2170437.5228004018</v>
      </c>
      <c r="M60" s="62">
        <v>2147988.3362332117</v>
      </c>
      <c r="N60" s="62">
        <v>1737108.3047789405</v>
      </c>
    </row>
    <row r="61" spans="1:14" x14ac:dyDescent="0.3">
      <c r="A61" s="51">
        <v>60</v>
      </c>
      <c r="B61" s="52">
        <v>-0.02</v>
      </c>
      <c r="C61" s="52">
        <v>0.01</v>
      </c>
      <c r="D61" s="52">
        <v>0.03</v>
      </c>
      <c r="E61" s="52">
        <v>-0.05</v>
      </c>
      <c r="F61" s="52">
        <v>0.03</v>
      </c>
      <c r="G61" s="52">
        <v>0.05</v>
      </c>
      <c r="H61" s="52">
        <v>-0.02</v>
      </c>
      <c r="I61" s="52">
        <v>-0.01</v>
      </c>
      <c r="J61" s="53">
        <v>-0.02</v>
      </c>
      <c r="K61" s="62">
        <v>1820379.8469831129</v>
      </c>
      <c r="L61" s="62">
        <v>1820379.8469831129</v>
      </c>
      <c r="M61" s="62">
        <v>1861046.2117083659</v>
      </c>
      <c r="N61" s="62">
        <v>1702581.8308048008</v>
      </c>
    </row>
    <row r="62" spans="1:14" x14ac:dyDescent="0.3">
      <c r="A62" s="51">
        <v>61</v>
      </c>
      <c r="B62" s="52">
        <v>0.03</v>
      </c>
      <c r="C62" s="52">
        <v>-0.06</v>
      </c>
      <c r="D62" s="52">
        <v>0.02</v>
      </c>
      <c r="E62" s="52">
        <v>-0.02</v>
      </c>
      <c r="F62" s="52">
        <v>7.0000000000000007E-2</v>
      </c>
      <c r="G62" s="52">
        <v>-0.02</v>
      </c>
      <c r="H62" s="52">
        <v>0.04</v>
      </c>
      <c r="I62" s="52">
        <v>7.0000000000000007E-2</v>
      </c>
      <c r="J62" s="53">
        <v>-0.01</v>
      </c>
      <c r="K62" s="62">
        <v>1859703.9348985814</v>
      </c>
      <c r="L62" s="62">
        <v>1859703.9348985814</v>
      </c>
      <c r="M62" s="62">
        <v>1841594.7537000016</v>
      </c>
      <c r="N62" s="62">
        <v>1743024.0691850008</v>
      </c>
    </row>
    <row r="63" spans="1:14" x14ac:dyDescent="0.3">
      <c r="A63" s="51">
        <v>62</v>
      </c>
      <c r="B63" s="52">
        <v>0.04</v>
      </c>
      <c r="C63" s="52">
        <v>-0.05</v>
      </c>
      <c r="D63" s="52">
        <v>0.02</v>
      </c>
      <c r="E63" s="52">
        <v>-0.06</v>
      </c>
      <c r="F63" s="52">
        <v>0.06</v>
      </c>
      <c r="G63" s="52">
        <v>0.01</v>
      </c>
      <c r="H63" s="52">
        <v>0.03</v>
      </c>
      <c r="I63" s="52">
        <v>-0.02</v>
      </c>
      <c r="J63" s="53">
        <v>0.04</v>
      </c>
      <c r="K63" s="62">
        <v>1845444.9206519327</v>
      </c>
      <c r="L63" s="62">
        <v>1845444.9206519327</v>
      </c>
      <c r="M63" s="62">
        <v>1849805.8952436806</v>
      </c>
      <c r="N63" s="62">
        <v>1751418.9459862206</v>
      </c>
    </row>
    <row r="64" spans="1:14" x14ac:dyDescent="0.3">
      <c r="A64" s="51">
        <v>63</v>
      </c>
      <c r="B64" s="52">
        <v>-0.01</v>
      </c>
      <c r="C64" s="52">
        <v>-0.06</v>
      </c>
      <c r="D64" s="52">
        <v>0.05</v>
      </c>
      <c r="E64" s="52">
        <v>0.03</v>
      </c>
      <c r="F64" s="52">
        <v>0.01</v>
      </c>
      <c r="G64" s="52">
        <v>7.0000000000000007E-2</v>
      </c>
      <c r="H64" s="52">
        <v>0.02</v>
      </c>
      <c r="I64" s="52">
        <v>-0.02</v>
      </c>
      <c r="J64" s="53">
        <v>0.02</v>
      </c>
      <c r="K64" s="62">
        <v>1987119.2030996406</v>
      </c>
      <c r="L64" s="62">
        <v>1987119.2030996406</v>
      </c>
      <c r="M64" s="62">
        <v>2045696.2110077604</v>
      </c>
      <c r="N64" s="62">
        <v>1763178.0668466007</v>
      </c>
    </row>
    <row r="65" spans="1:14" x14ac:dyDescent="0.3">
      <c r="A65" s="51">
        <v>64</v>
      </c>
      <c r="B65" s="52">
        <v>0.04</v>
      </c>
      <c r="C65" s="52">
        <v>-0.03</v>
      </c>
      <c r="D65" s="52">
        <v>-0.02</v>
      </c>
      <c r="E65" s="52">
        <v>0.06</v>
      </c>
      <c r="F65" s="52">
        <v>-0.01</v>
      </c>
      <c r="G65" s="52">
        <v>0.02</v>
      </c>
      <c r="H65" s="52">
        <v>7.0000000000000007E-2</v>
      </c>
      <c r="I65" s="52">
        <v>-0.02</v>
      </c>
      <c r="J65" s="53">
        <v>0.01</v>
      </c>
      <c r="K65" s="62">
        <v>1640596.9677370472</v>
      </c>
      <c r="L65" s="62">
        <v>1640596.9677370472</v>
      </c>
      <c r="M65" s="62">
        <v>1651826.8563708947</v>
      </c>
      <c r="N65" s="62">
        <v>1781347.9777236008</v>
      </c>
    </row>
    <row r="66" spans="1:14" x14ac:dyDescent="0.3">
      <c r="A66" s="51">
        <v>65</v>
      </c>
      <c r="B66" s="52">
        <v>0.03</v>
      </c>
      <c r="C66" s="52">
        <v>0.09</v>
      </c>
      <c r="D66" s="52">
        <v>0.06</v>
      </c>
      <c r="E66" s="52">
        <v>7.0000000000000007E-2</v>
      </c>
      <c r="F66" s="52">
        <v>0.04</v>
      </c>
      <c r="G66" s="52">
        <v>0.01</v>
      </c>
      <c r="H66" s="52">
        <v>-0.02</v>
      </c>
      <c r="I66" s="52">
        <v>-0.02</v>
      </c>
      <c r="J66" s="53">
        <v>0.01</v>
      </c>
      <c r="K66" s="62">
        <v>2001734.8135677592</v>
      </c>
      <c r="L66" s="62">
        <v>2001734.8135677592</v>
      </c>
      <c r="M66" s="62">
        <v>2008990.9504325441</v>
      </c>
      <c r="N66" s="62">
        <v>1662598.5349557507</v>
      </c>
    </row>
    <row r="67" spans="1:14" x14ac:dyDescent="0.3">
      <c r="A67" s="51">
        <v>66</v>
      </c>
      <c r="B67" s="52">
        <v>7.0000000000000007E-2</v>
      </c>
      <c r="C67" s="52">
        <v>7.0000000000000007E-2</v>
      </c>
      <c r="D67" s="52">
        <v>0.01</v>
      </c>
      <c r="E67" s="52">
        <v>-0.04</v>
      </c>
      <c r="F67" s="52">
        <v>0.02</v>
      </c>
      <c r="G67" s="52">
        <v>0.01</v>
      </c>
      <c r="H67" s="52">
        <v>-0.01</v>
      </c>
      <c r="I67" s="52">
        <v>7.0000000000000007E-2</v>
      </c>
      <c r="J67" s="53">
        <v>-0.03</v>
      </c>
      <c r="K67" s="62">
        <v>1740539.7831576136</v>
      </c>
      <c r="L67" s="62">
        <v>1740539.7831576136</v>
      </c>
      <c r="M67" s="62">
        <v>1746354.2144374927</v>
      </c>
      <c r="N67" s="62">
        <v>1706722.6889965509</v>
      </c>
    </row>
    <row r="68" spans="1:14" x14ac:dyDescent="0.3">
      <c r="A68" s="51">
        <v>67</v>
      </c>
      <c r="B68" s="52">
        <v>0.01</v>
      </c>
      <c r="C68" s="52">
        <v>-7.0000000000000007E-2</v>
      </c>
      <c r="D68" s="52">
        <v>0.05</v>
      </c>
      <c r="E68" s="52">
        <v>0.05</v>
      </c>
      <c r="F68" s="52">
        <v>0.02</v>
      </c>
      <c r="G68" s="52">
        <v>0.02</v>
      </c>
      <c r="H68" s="52">
        <v>0.01</v>
      </c>
      <c r="I68" s="52">
        <v>0.05</v>
      </c>
      <c r="J68" s="53">
        <v>0.04</v>
      </c>
      <c r="K68" s="62">
        <v>2038042.7912078155</v>
      </c>
      <c r="L68" s="62">
        <v>2038042.7912078155</v>
      </c>
      <c r="M68" s="62">
        <v>2052156.6690222202</v>
      </c>
      <c r="N68" s="62">
        <v>1769546.7600671109</v>
      </c>
    </row>
    <row r="69" spans="1:14" x14ac:dyDescent="0.3">
      <c r="A69" s="51">
        <v>68</v>
      </c>
      <c r="B69" s="52">
        <v>0.01</v>
      </c>
      <c r="C69" s="52">
        <v>-0.06</v>
      </c>
      <c r="D69" s="52">
        <v>0.06</v>
      </c>
      <c r="E69" s="52">
        <v>-0.05</v>
      </c>
      <c r="F69" s="52">
        <v>0.03</v>
      </c>
      <c r="G69" s="52">
        <v>0.06</v>
      </c>
      <c r="H69" s="52">
        <v>0.01</v>
      </c>
      <c r="I69" s="52">
        <v>-0.01</v>
      </c>
      <c r="J69" s="53">
        <v>0.01</v>
      </c>
      <c r="K69" s="62">
        <v>2055516.3783433167</v>
      </c>
      <c r="L69" s="62">
        <v>2055516.3783433167</v>
      </c>
      <c r="M69" s="62">
        <v>2106020.4316739663</v>
      </c>
      <c r="N69" s="62">
        <v>1760178.8363242007</v>
      </c>
    </row>
    <row r="70" spans="1:14" x14ac:dyDescent="0.3">
      <c r="A70" s="51">
        <v>69</v>
      </c>
      <c r="B70" s="52">
        <v>0.03</v>
      </c>
      <c r="C70" s="52">
        <v>0.03</v>
      </c>
      <c r="D70" s="52">
        <v>0.03</v>
      </c>
      <c r="E70" s="52">
        <v>0.04</v>
      </c>
      <c r="F70" s="52">
        <v>0.01</v>
      </c>
      <c r="G70" s="52">
        <v>0.06</v>
      </c>
      <c r="H70" s="52">
        <v>0.03</v>
      </c>
      <c r="I70" s="52">
        <v>-0.03</v>
      </c>
      <c r="J70" s="53">
        <v>0.03</v>
      </c>
      <c r="K70" s="62">
        <v>1836460.8082224024</v>
      </c>
      <c r="L70" s="62">
        <v>1836460.8082224024</v>
      </c>
      <c r="M70" s="62">
        <v>1884455.7532351771</v>
      </c>
      <c r="N70" s="62">
        <v>1725578.1704882507</v>
      </c>
    </row>
    <row r="71" spans="1:14" x14ac:dyDescent="0.3">
      <c r="A71" s="51">
        <v>70</v>
      </c>
      <c r="B71" s="52">
        <v>0.05</v>
      </c>
      <c r="C71" s="52">
        <v>-0.03</v>
      </c>
      <c r="D71" s="52">
        <v>0.05</v>
      </c>
      <c r="E71" s="52">
        <v>-0.06</v>
      </c>
      <c r="F71" s="52">
        <v>0.06</v>
      </c>
      <c r="G71" s="52">
        <v>0.03</v>
      </c>
      <c r="H71" s="52">
        <v>0.02</v>
      </c>
      <c r="I71" s="52">
        <v>0.06</v>
      </c>
      <c r="J71" s="53">
        <v>-0.02</v>
      </c>
      <c r="K71" s="62">
        <v>1998913.148204766</v>
      </c>
      <c r="L71" s="62">
        <v>1998913.148204766</v>
      </c>
      <c r="M71" s="62">
        <v>2023386.5138217479</v>
      </c>
      <c r="N71" s="62">
        <v>1741281.6293542308</v>
      </c>
    </row>
    <row r="72" spans="1:14" x14ac:dyDescent="0.3">
      <c r="A72" s="51">
        <v>71</v>
      </c>
      <c r="B72" s="52">
        <v>0.05</v>
      </c>
      <c r="C72" s="52">
        <v>0.04</v>
      </c>
      <c r="D72" s="52">
        <v>0.02</v>
      </c>
      <c r="E72" s="52">
        <v>-0.02</v>
      </c>
      <c r="F72" s="52">
        <v>-0.02</v>
      </c>
      <c r="G72" s="52">
        <v>7.0000000000000007E-2</v>
      </c>
      <c r="H72" s="52">
        <v>0.02</v>
      </c>
      <c r="I72" s="52">
        <v>0.02</v>
      </c>
      <c r="J72" s="53">
        <v>0.04</v>
      </c>
      <c r="K72" s="62">
        <v>1785159.8999781327</v>
      </c>
      <c r="L72" s="62">
        <v>1785159.8999781327</v>
      </c>
      <c r="M72" s="62">
        <v>1841579.8448771816</v>
      </c>
      <c r="N72" s="62">
        <v>1743009.1603621808</v>
      </c>
    </row>
    <row r="73" spans="1:14" x14ac:dyDescent="0.3">
      <c r="A73" s="51">
        <v>72</v>
      </c>
      <c r="B73" s="52">
        <v>0.01</v>
      </c>
      <c r="C73" s="52">
        <v>7.0000000000000007E-2</v>
      </c>
      <c r="D73" s="52">
        <v>-0.01</v>
      </c>
      <c r="E73" s="52">
        <v>0.02</v>
      </c>
      <c r="F73" s="52">
        <v>0.02</v>
      </c>
      <c r="G73" s="52">
        <v>0.06</v>
      </c>
      <c r="H73" s="52">
        <v>0.02</v>
      </c>
      <c r="I73" s="52">
        <v>0.02</v>
      </c>
      <c r="J73" s="53">
        <v>0.01</v>
      </c>
      <c r="K73" s="62">
        <v>1558847.6388997072</v>
      </c>
      <c r="L73" s="62">
        <v>1558847.6388997072</v>
      </c>
      <c r="M73" s="62">
        <v>1605373.3336345502</v>
      </c>
      <c r="N73" s="62">
        <v>1679678.4591925507</v>
      </c>
    </row>
    <row r="74" spans="1:14" x14ac:dyDescent="0.3">
      <c r="A74" s="51">
        <v>73</v>
      </c>
      <c r="B74" s="52">
        <v>7.0000000000000007E-2</v>
      </c>
      <c r="C74" s="52">
        <v>7.0000000000000007E-2</v>
      </c>
      <c r="D74" s="52">
        <v>0.01</v>
      </c>
      <c r="E74" s="52">
        <v>7.0000000000000007E-2</v>
      </c>
      <c r="F74" s="52">
        <v>0.02</v>
      </c>
      <c r="G74" s="52">
        <v>-0.05</v>
      </c>
      <c r="H74" s="52">
        <v>-0.02</v>
      </c>
      <c r="I74" s="52">
        <v>-0.01</v>
      </c>
      <c r="J74" s="53">
        <v>0.03</v>
      </c>
      <c r="K74" s="62">
        <v>1791896.7590022753</v>
      </c>
      <c r="L74" s="62">
        <v>1791896.7590022753</v>
      </c>
      <c r="M74" s="62">
        <v>1749557.4952079556</v>
      </c>
      <c r="N74" s="62">
        <v>1709421.0866689505</v>
      </c>
    </row>
    <row r="75" spans="1:14" x14ac:dyDescent="0.3">
      <c r="A75" s="51">
        <v>74</v>
      </c>
      <c r="B75" s="52">
        <v>0.06</v>
      </c>
      <c r="C75" s="52">
        <v>0.06</v>
      </c>
      <c r="D75" s="52">
        <v>0.02</v>
      </c>
      <c r="E75" s="52">
        <v>0.02</v>
      </c>
      <c r="F75" s="52">
        <v>7.0000000000000007E-2</v>
      </c>
      <c r="G75" s="52">
        <v>0.04</v>
      </c>
      <c r="H75" s="52">
        <v>0.01</v>
      </c>
      <c r="I75" s="52">
        <v>0.08</v>
      </c>
      <c r="J75" s="53">
        <v>0.04</v>
      </c>
      <c r="K75" s="62">
        <v>1747940.0204567309</v>
      </c>
      <c r="L75" s="62">
        <v>1747940.0204567309</v>
      </c>
      <c r="M75" s="62">
        <v>1777434.8309203512</v>
      </c>
      <c r="N75" s="62">
        <v>1678680.5140035506</v>
      </c>
    </row>
    <row r="76" spans="1:14" x14ac:dyDescent="0.3">
      <c r="A76" s="51">
        <v>75</v>
      </c>
      <c r="B76" s="52">
        <v>7.0000000000000007E-2</v>
      </c>
      <c r="C76" s="52">
        <v>-7.0000000000000007E-2</v>
      </c>
      <c r="D76" s="52">
        <v>0.04</v>
      </c>
      <c r="E76" s="52">
        <v>-0.06</v>
      </c>
      <c r="F76" s="52">
        <v>0.01</v>
      </c>
      <c r="G76" s="52">
        <v>-0.04</v>
      </c>
      <c r="H76" s="52">
        <v>-0.01</v>
      </c>
      <c r="I76" s="52">
        <v>0.04</v>
      </c>
      <c r="J76" s="53">
        <v>0.06</v>
      </c>
      <c r="K76" s="62">
        <v>2058408.2995531445</v>
      </c>
      <c r="L76" s="62">
        <v>2058408.2995531445</v>
      </c>
      <c r="M76" s="62">
        <v>2024479.1946647917</v>
      </c>
      <c r="N76" s="62">
        <v>1804827.3903094511</v>
      </c>
    </row>
    <row r="77" spans="1:14" x14ac:dyDescent="0.3">
      <c r="A77" s="51">
        <v>76</v>
      </c>
      <c r="B77" s="52">
        <v>-0.01</v>
      </c>
      <c r="C77" s="52">
        <v>0.01</v>
      </c>
      <c r="D77" s="52">
        <v>7.0000000000000007E-2</v>
      </c>
      <c r="E77" s="52">
        <v>-0.06</v>
      </c>
      <c r="F77" s="52">
        <v>0.06</v>
      </c>
      <c r="G77" s="52">
        <v>7.0000000000000007E-2</v>
      </c>
      <c r="H77" s="52">
        <v>0.01</v>
      </c>
      <c r="I77" s="52">
        <v>-0.02</v>
      </c>
      <c r="J77" s="53">
        <v>7.0000000000000007E-2</v>
      </c>
      <c r="K77" s="62">
        <v>2041952.5107985768</v>
      </c>
      <c r="L77" s="62">
        <v>2041952.5107985768</v>
      </c>
      <c r="M77" s="62">
        <v>2100626.7998404531</v>
      </c>
      <c r="N77" s="62">
        <v>1689884.5794737509</v>
      </c>
    </row>
    <row r="78" spans="1:14" x14ac:dyDescent="0.3">
      <c r="A78" s="51">
        <v>77</v>
      </c>
      <c r="B78" s="52">
        <v>-0.02</v>
      </c>
      <c r="C78" s="52">
        <v>-0.08</v>
      </c>
      <c r="D78" s="52">
        <v>-0.02</v>
      </c>
      <c r="E78" s="52">
        <v>-0.01</v>
      </c>
      <c r="F78" s="52">
        <v>0.03</v>
      </c>
      <c r="G78" s="52">
        <v>-0.03</v>
      </c>
      <c r="H78" s="52">
        <v>0.04</v>
      </c>
      <c r="I78" s="52">
        <v>-0.03</v>
      </c>
      <c r="J78" s="53">
        <v>0.05</v>
      </c>
      <c r="K78" s="62">
        <v>1658893.3440861581</v>
      </c>
      <c r="L78" s="62">
        <v>1658893.3440861581</v>
      </c>
      <c r="M78" s="62">
        <v>1629482.3656904846</v>
      </c>
      <c r="N78" s="62">
        <v>1759324.7312927507</v>
      </c>
    </row>
    <row r="79" spans="1:14" x14ac:dyDescent="0.3">
      <c r="A79" s="51">
        <v>78</v>
      </c>
      <c r="B79" s="52">
        <v>0.06</v>
      </c>
      <c r="C79" s="52">
        <v>-0.05</v>
      </c>
      <c r="D79" s="52">
        <v>0.04</v>
      </c>
      <c r="E79" s="52">
        <v>-0.06</v>
      </c>
      <c r="F79" s="52">
        <v>0.06</v>
      </c>
      <c r="G79" s="52">
        <v>-0.01</v>
      </c>
      <c r="H79" s="52">
        <v>0.05</v>
      </c>
      <c r="I79" s="52">
        <v>0.04</v>
      </c>
      <c r="J79" s="53">
        <v>7.0000000000000007E-2</v>
      </c>
      <c r="K79" s="62">
        <v>1990903.7492752837</v>
      </c>
      <c r="L79" s="62">
        <v>1990903.7492752837</v>
      </c>
      <c r="M79" s="62">
        <v>1979570.2682486014</v>
      </c>
      <c r="N79" s="62">
        <v>1759918.4638932608</v>
      </c>
    </row>
    <row r="80" spans="1:14" x14ac:dyDescent="0.3">
      <c r="A80" s="51">
        <v>79</v>
      </c>
      <c r="B80" s="52">
        <v>0.01</v>
      </c>
      <c r="C80" s="52">
        <v>0.05</v>
      </c>
      <c r="D80" s="52">
        <v>0.02</v>
      </c>
      <c r="E80" s="52">
        <v>0.05</v>
      </c>
      <c r="F80" s="52">
        <v>0.03</v>
      </c>
      <c r="G80" s="52">
        <v>-0.04</v>
      </c>
      <c r="H80" s="52">
        <v>0.03</v>
      </c>
      <c r="I80" s="52">
        <v>-0.03</v>
      </c>
      <c r="J80" s="53">
        <v>0.03</v>
      </c>
      <c r="K80" s="62">
        <v>1823808.3665368725</v>
      </c>
      <c r="L80" s="62">
        <v>1823808.3665368725</v>
      </c>
      <c r="M80" s="62">
        <v>1789342.9540912227</v>
      </c>
      <c r="N80" s="62">
        <v>1690450.9803461707</v>
      </c>
    </row>
    <row r="81" spans="1:14" x14ac:dyDescent="0.3">
      <c r="A81" s="51">
        <v>80</v>
      </c>
      <c r="B81" s="52">
        <v>-0.02</v>
      </c>
      <c r="C81" s="52">
        <v>-0.05</v>
      </c>
      <c r="D81" s="52">
        <v>7.0000000000000007E-2</v>
      </c>
      <c r="E81" s="52">
        <v>0.06</v>
      </c>
      <c r="F81" s="52">
        <v>7.0000000000000007E-2</v>
      </c>
      <c r="G81" s="52">
        <v>0.06</v>
      </c>
      <c r="H81" s="52">
        <v>7.0000000000000007E-2</v>
      </c>
      <c r="I81" s="52">
        <v>0.05</v>
      </c>
      <c r="J81" s="53">
        <v>0.06</v>
      </c>
      <c r="K81" s="62">
        <v>2077459.7625208488</v>
      </c>
      <c r="L81" s="62">
        <v>2077459.7625208488</v>
      </c>
      <c r="M81" s="62">
        <v>2127026.8128669723</v>
      </c>
      <c r="N81" s="62">
        <v>1715733.6952516809</v>
      </c>
    </row>
    <row r="82" spans="1:14" x14ac:dyDescent="0.3">
      <c r="A82" s="51">
        <v>81</v>
      </c>
      <c r="B82" s="52">
        <v>0.03</v>
      </c>
      <c r="C82" s="52">
        <v>-0.06</v>
      </c>
      <c r="D82" s="52">
        <v>-0.01</v>
      </c>
      <c r="E82" s="52">
        <v>-0.03</v>
      </c>
      <c r="F82" s="52">
        <v>0.06</v>
      </c>
      <c r="G82" s="52">
        <v>-0.03</v>
      </c>
      <c r="H82" s="52">
        <v>0.01</v>
      </c>
      <c r="I82" s="52">
        <v>-0.03</v>
      </c>
      <c r="J82" s="53">
        <v>0.06</v>
      </c>
      <c r="K82" s="62">
        <v>1706785.0432904535</v>
      </c>
      <c r="L82" s="62">
        <v>1706785.0432904535</v>
      </c>
      <c r="M82" s="62">
        <v>1677620.5364935286</v>
      </c>
      <c r="N82" s="62">
        <v>1752155.218623301</v>
      </c>
    </row>
    <row r="83" spans="1:14" x14ac:dyDescent="0.3">
      <c r="A83" s="51">
        <v>82</v>
      </c>
      <c r="B83" s="52">
        <v>-0.02</v>
      </c>
      <c r="C83" s="52">
        <v>0.01</v>
      </c>
      <c r="D83" s="52">
        <v>-0.02</v>
      </c>
      <c r="E83" s="52">
        <v>0.03</v>
      </c>
      <c r="F83" s="52">
        <v>0.05</v>
      </c>
      <c r="G83" s="52">
        <v>0.01</v>
      </c>
      <c r="H83" s="52">
        <v>0.04</v>
      </c>
      <c r="I83" s="52">
        <v>7.0000000000000007E-2</v>
      </c>
      <c r="J83" s="53">
        <v>0.01</v>
      </c>
      <c r="K83" s="62">
        <v>1556452.6668431708</v>
      </c>
      <c r="L83" s="62">
        <v>1556452.6668431708</v>
      </c>
      <c r="M83" s="62">
        <v>1559479.5846672279</v>
      </c>
      <c r="N83" s="62">
        <v>1689138.3435748809</v>
      </c>
    </row>
    <row r="84" spans="1:14" x14ac:dyDescent="0.3">
      <c r="A84" s="51">
        <v>83</v>
      </c>
      <c r="B84" s="52">
        <v>0.03</v>
      </c>
      <c r="C84" s="52">
        <v>0.08</v>
      </c>
      <c r="D84" s="52">
        <v>7.0000000000000007E-2</v>
      </c>
      <c r="E84" s="52">
        <v>-0.05</v>
      </c>
      <c r="F84" s="52">
        <v>0.02</v>
      </c>
      <c r="G84" s="52">
        <v>0.03</v>
      </c>
      <c r="H84" s="52">
        <v>0.06</v>
      </c>
      <c r="I84" s="52">
        <v>-0.02</v>
      </c>
      <c r="J84" s="53">
        <v>0.06</v>
      </c>
      <c r="K84" s="62">
        <v>2071424.7801100616</v>
      </c>
      <c r="L84" s="62">
        <v>2071424.7801100616</v>
      </c>
      <c r="M84" s="62">
        <v>2094887.8299434765</v>
      </c>
      <c r="N84" s="62">
        <v>1684099.6661173007</v>
      </c>
    </row>
    <row r="85" spans="1:14" x14ac:dyDescent="0.3">
      <c r="A85" s="51">
        <v>84</v>
      </c>
      <c r="B85" s="52">
        <v>0.05</v>
      </c>
      <c r="C85" s="52">
        <v>-0.01</v>
      </c>
      <c r="D85" s="52">
        <v>7.0000000000000007E-2</v>
      </c>
      <c r="E85" s="52">
        <v>7.0000000000000007E-2</v>
      </c>
      <c r="F85" s="52">
        <v>-0.02</v>
      </c>
      <c r="G85" s="52">
        <v>-0.01</v>
      </c>
      <c r="H85" s="52">
        <v>0.01</v>
      </c>
      <c r="I85" s="52">
        <v>-0.01</v>
      </c>
      <c r="J85" s="53">
        <v>0.02</v>
      </c>
      <c r="K85" s="62">
        <v>2197063.8254399439</v>
      </c>
      <c r="L85" s="62">
        <v>2197063.8254399439</v>
      </c>
      <c r="M85" s="62">
        <v>2188642.3120682337</v>
      </c>
      <c r="N85" s="62">
        <v>1777303.3281150309</v>
      </c>
    </row>
    <row r="86" spans="1:14" x14ac:dyDescent="0.3">
      <c r="A86" s="51">
        <v>85</v>
      </c>
      <c r="B86" s="52">
        <v>0.01</v>
      </c>
      <c r="C86" s="52">
        <v>0.06</v>
      </c>
      <c r="D86" s="52">
        <v>0.08</v>
      </c>
      <c r="E86" s="52">
        <v>0.05</v>
      </c>
      <c r="F86" s="52">
        <v>-0.02</v>
      </c>
      <c r="G86" s="52">
        <v>0.05</v>
      </c>
      <c r="H86" s="52">
        <v>0.05</v>
      </c>
      <c r="I86" s="52">
        <v>0.03</v>
      </c>
      <c r="J86" s="53">
        <v>-0.01</v>
      </c>
      <c r="K86" s="62">
        <v>2143919.9990997738</v>
      </c>
      <c r="L86" s="62">
        <v>2143919.9990997738</v>
      </c>
      <c r="M86" s="62">
        <v>2187156.3711162838</v>
      </c>
      <c r="N86" s="62">
        <v>1709688.5033555408</v>
      </c>
    </row>
    <row r="87" spans="1:14" x14ac:dyDescent="0.3">
      <c r="A87" s="51">
        <v>86</v>
      </c>
      <c r="B87" s="52">
        <v>0.04</v>
      </c>
      <c r="C87" s="52">
        <v>0.02</v>
      </c>
      <c r="D87" s="52">
        <v>0.05</v>
      </c>
      <c r="E87" s="52">
        <v>7.0000000000000007E-2</v>
      </c>
      <c r="F87" s="52">
        <v>-0.01</v>
      </c>
      <c r="G87" s="52">
        <v>0.05</v>
      </c>
      <c r="H87" s="52">
        <v>0.06</v>
      </c>
      <c r="I87" s="52">
        <v>0.09</v>
      </c>
      <c r="J87" s="53">
        <v>0.04</v>
      </c>
      <c r="K87" s="62">
        <v>1987623.3867302798</v>
      </c>
      <c r="L87" s="62">
        <v>1987623.3867302798</v>
      </c>
      <c r="M87" s="62">
        <v>2027500.0385531685</v>
      </c>
      <c r="N87" s="62">
        <v>1744798.3904991508</v>
      </c>
    </row>
    <row r="88" spans="1:14" x14ac:dyDescent="0.3">
      <c r="A88" s="51">
        <v>87</v>
      </c>
      <c r="B88" s="52">
        <v>-0.02</v>
      </c>
      <c r="C88" s="52">
        <v>-0.02</v>
      </c>
      <c r="D88" s="52">
        <v>0.03</v>
      </c>
      <c r="E88" s="52">
        <v>0.04</v>
      </c>
      <c r="F88" s="52">
        <v>0.06</v>
      </c>
      <c r="G88" s="52">
        <v>-0.02</v>
      </c>
      <c r="H88" s="52">
        <v>0.02</v>
      </c>
      <c r="I88" s="52">
        <v>0.01</v>
      </c>
      <c r="J88" s="53">
        <v>0.05</v>
      </c>
      <c r="K88" s="62">
        <v>1882224.562645203</v>
      </c>
      <c r="L88" s="62">
        <v>1882224.562645203</v>
      </c>
      <c r="M88" s="62">
        <v>1862866.3632679773</v>
      </c>
      <c r="N88" s="62">
        <v>1703988.7805210506</v>
      </c>
    </row>
    <row r="89" spans="1:14" x14ac:dyDescent="0.3">
      <c r="A89" s="51">
        <v>88</v>
      </c>
      <c r="B89" s="52">
        <v>0.03</v>
      </c>
      <c r="C89" s="52">
        <v>0.04</v>
      </c>
      <c r="D89" s="52">
        <v>7.0000000000000007E-2</v>
      </c>
      <c r="E89" s="52">
        <v>-0.03</v>
      </c>
      <c r="F89" s="52">
        <v>0.06</v>
      </c>
      <c r="G89" s="52">
        <v>-0.05</v>
      </c>
      <c r="H89" s="52">
        <v>0.06</v>
      </c>
      <c r="I89" s="52">
        <v>0.04</v>
      </c>
      <c r="J89" s="53">
        <v>-0.03</v>
      </c>
      <c r="K89" s="62">
        <v>2135020.8004548252</v>
      </c>
      <c r="L89" s="62">
        <v>2135020.8004548252</v>
      </c>
      <c r="M89" s="62">
        <v>2098109.7178275716</v>
      </c>
      <c r="N89" s="62">
        <v>1687229.6863733009</v>
      </c>
    </row>
    <row r="90" spans="1:14" x14ac:dyDescent="0.3">
      <c r="A90" s="51">
        <v>89</v>
      </c>
      <c r="B90" s="52">
        <v>0.05</v>
      </c>
      <c r="C90" s="52">
        <v>0.03</v>
      </c>
      <c r="D90" s="52">
        <v>0.05</v>
      </c>
      <c r="E90" s="52">
        <v>0.04</v>
      </c>
      <c r="F90" s="52">
        <v>-0.02</v>
      </c>
      <c r="G90" s="52">
        <v>0.02</v>
      </c>
      <c r="H90" s="52">
        <v>0.01</v>
      </c>
      <c r="I90" s="52">
        <v>0.06</v>
      </c>
      <c r="J90" s="53">
        <v>0.06</v>
      </c>
      <c r="K90" s="62">
        <v>2017183.5959987273</v>
      </c>
      <c r="L90" s="62">
        <v>2017183.5959987273</v>
      </c>
      <c r="M90" s="62">
        <v>2030791.3943845823</v>
      </c>
      <c r="N90" s="62">
        <v>1748227.3646142308</v>
      </c>
    </row>
    <row r="91" spans="1:14" x14ac:dyDescent="0.3">
      <c r="A91" s="51">
        <v>90</v>
      </c>
      <c r="B91" s="52">
        <v>-0.01</v>
      </c>
      <c r="C91" s="52">
        <v>-0.03</v>
      </c>
      <c r="D91" s="52">
        <v>0.09</v>
      </c>
      <c r="E91" s="52">
        <v>-0.04</v>
      </c>
      <c r="F91" s="52">
        <v>0.03</v>
      </c>
      <c r="G91" s="52">
        <v>-0.05</v>
      </c>
      <c r="H91" s="52">
        <v>0.06</v>
      </c>
      <c r="I91" s="52">
        <v>-0.01</v>
      </c>
      <c r="J91" s="53">
        <v>0.04</v>
      </c>
      <c r="K91" s="62">
        <v>2316689.8596953154</v>
      </c>
      <c r="L91" s="62">
        <v>2316689.8596953154</v>
      </c>
      <c r="M91" s="62">
        <v>2279119.8528872896</v>
      </c>
      <c r="N91" s="62">
        <v>1734552.0587794508</v>
      </c>
    </row>
    <row r="92" spans="1:14" x14ac:dyDescent="0.3">
      <c r="A92" s="51">
        <v>91</v>
      </c>
      <c r="B92" s="52">
        <v>0.04</v>
      </c>
      <c r="C92" s="52">
        <v>-0.02</v>
      </c>
      <c r="D92" s="52">
        <v>0.01</v>
      </c>
      <c r="E92" s="52">
        <v>-0.06</v>
      </c>
      <c r="F92" s="52">
        <v>0.01</v>
      </c>
      <c r="G92" s="52">
        <v>0.04</v>
      </c>
      <c r="H92" s="52">
        <v>-0.02</v>
      </c>
      <c r="I92" s="52">
        <v>0.01</v>
      </c>
      <c r="J92" s="53">
        <v>0.04</v>
      </c>
      <c r="K92" s="62">
        <v>1771132.401417728</v>
      </c>
      <c r="L92" s="62">
        <v>1771132.401417728</v>
      </c>
      <c r="M92" s="62">
        <v>1800257.7936284549</v>
      </c>
      <c r="N92" s="62">
        <v>1760718.1486759507</v>
      </c>
    </row>
    <row r="93" spans="1:14" x14ac:dyDescent="0.3">
      <c r="A93" s="51">
        <v>92</v>
      </c>
      <c r="B93" s="52">
        <v>7.0000000000000007E-2</v>
      </c>
      <c r="C93" s="52">
        <v>-0.02</v>
      </c>
      <c r="D93" s="52">
        <v>0.01</v>
      </c>
      <c r="E93" s="52">
        <v>0.06</v>
      </c>
      <c r="F93" s="52">
        <v>-0.02</v>
      </c>
      <c r="G93" s="52">
        <v>0.03</v>
      </c>
      <c r="H93" s="52">
        <v>0.05</v>
      </c>
      <c r="I93" s="52">
        <v>-0.02</v>
      </c>
      <c r="J93" s="53">
        <v>-0.01</v>
      </c>
      <c r="K93" s="62">
        <v>1813659.6937373728</v>
      </c>
      <c r="L93" s="62">
        <v>1813659.6937373728</v>
      </c>
      <c r="M93" s="62">
        <v>1835362.296450634</v>
      </c>
      <c r="N93" s="62">
        <v>1795271.7542495406</v>
      </c>
    </row>
    <row r="94" spans="1:14" x14ac:dyDescent="0.3">
      <c r="A94" s="51">
        <v>93</v>
      </c>
      <c r="B94" s="52">
        <v>0.06</v>
      </c>
      <c r="C94" s="52">
        <v>0.04</v>
      </c>
      <c r="D94" s="52">
        <v>7.0000000000000007E-2</v>
      </c>
      <c r="E94" s="52">
        <v>0.06</v>
      </c>
      <c r="F94" s="52">
        <v>0.02</v>
      </c>
      <c r="G94" s="52">
        <v>-0.03</v>
      </c>
      <c r="H94" s="52">
        <v>-0.01</v>
      </c>
      <c r="I94" s="52">
        <v>0.03</v>
      </c>
      <c r="J94" s="53">
        <v>0.06</v>
      </c>
      <c r="K94" s="62">
        <v>2160955.7035964043</v>
      </c>
      <c r="L94" s="62">
        <v>2160955.7035964043</v>
      </c>
      <c r="M94" s="62">
        <v>2136090.3868103423</v>
      </c>
      <c r="N94" s="62">
        <v>1724797.2691950509</v>
      </c>
    </row>
    <row r="95" spans="1:14" x14ac:dyDescent="0.3">
      <c r="A95" s="51">
        <v>94</v>
      </c>
      <c r="B95" s="52">
        <v>0.04</v>
      </c>
      <c r="C95" s="52">
        <v>0.09</v>
      </c>
      <c r="D95" s="52">
        <v>0.06</v>
      </c>
      <c r="E95" s="52">
        <v>0.04</v>
      </c>
      <c r="F95" s="52">
        <v>-0.02</v>
      </c>
      <c r="G95" s="52">
        <v>0.02</v>
      </c>
      <c r="H95" s="52">
        <v>0.06</v>
      </c>
      <c r="I95" s="52">
        <v>0.01</v>
      </c>
      <c r="J95" s="53">
        <v>0.05</v>
      </c>
      <c r="K95" s="62">
        <v>2034260.6729939762</v>
      </c>
      <c r="L95" s="62">
        <v>2034260.6729939762</v>
      </c>
      <c r="M95" s="62">
        <v>2048741.5297110274</v>
      </c>
      <c r="N95" s="62">
        <v>1702486.7325179004</v>
      </c>
    </row>
    <row r="96" spans="1:14" x14ac:dyDescent="0.3">
      <c r="A96" s="51">
        <v>95</v>
      </c>
      <c r="B96" s="52">
        <v>0.04</v>
      </c>
      <c r="C96" s="52">
        <v>0.01</v>
      </c>
      <c r="D96" s="52">
        <v>0.02</v>
      </c>
      <c r="E96" s="52">
        <v>0.05</v>
      </c>
      <c r="F96" s="52">
        <v>-0.02</v>
      </c>
      <c r="G96" s="52">
        <v>-0.06</v>
      </c>
      <c r="H96" s="52">
        <v>0.02</v>
      </c>
      <c r="I96" s="52">
        <v>-0.01</v>
      </c>
      <c r="J96" s="53">
        <v>0.02</v>
      </c>
      <c r="K96" s="62">
        <v>1907106.7648776507</v>
      </c>
      <c r="L96" s="62">
        <v>1907106.7648776507</v>
      </c>
      <c r="M96" s="62">
        <v>1858453.4130853524</v>
      </c>
      <c r="N96" s="62">
        <v>1759561.4393403004</v>
      </c>
    </row>
    <row r="97" spans="1:14" x14ac:dyDescent="0.3">
      <c r="A97" s="51">
        <v>96</v>
      </c>
      <c r="B97" s="52">
        <v>0.02</v>
      </c>
      <c r="C97" s="52">
        <v>-0.08</v>
      </c>
      <c r="D97" s="52">
        <v>0.03</v>
      </c>
      <c r="E97" s="52">
        <v>0.02</v>
      </c>
      <c r="F97" s="52">
        <v>7.0000000000000007E-2</v>
      </c>
      <c r="G97" s="52">
        <v>0.02</v>
      </c>
      <c r="H97" s="52">
        <v>0.04</v>
      </c>
      <c r="I97" s="52">
        <v>-0.06</v>
      </c>
      <c r="J97" s="53">
        <v>0.03</v>
      </c>
      <c r="K97" s="62">
        <v>1899548.1780640688</v>
      </c>
      <c r="L97" s="62">
        <v>1899548.1780640688</v>
      </c>
      <c r="M97" s="62">
        <v>1912832.440156183</v>
      </c>
      <c r="N97" s="62">
        <v>1754046.6350527506</v>
      </c>
    </row>
    <row r="98" spans="1:14" x14ac:dyDescent="0.3">
      <c r="A98" s="51">
        <v>97</v>
      </c>
      <c r="B98" s="52">
        <v>-0.02</v>
      </c>
      <c r="C98" s="52">
        <v>-7.0000000000000007E-2</v>
      </c>
      <c r="D98" s="52">
        <v>0.05</v>
      </c>
      <c r="E98" s="52">
        <v>0.05</v>
      </c>
      <c r="F98" s="52">
        <v>0.04</v>
      </c>
      <c r="G98" s="52">
        <v>0.04</v>
      </c>
      <c r="H98" s="52">
        <v>0.02</v>
      </c>
      <c r="I98" s="52">
        <v>0.02</v>
      </c>
      <c r="J98" s="53">
        <v>0.02</v>
      </c>
      <c r="K98" s="62">
        <v>1996484.7447862541</v>
      </c>
      <c r="L98" s="62">
        <v>1996484.7447862541</v>
      </c>
      <c r="M98" s="62">
        <v>2028176.0215570098</v>
      </c>
      <c r="N98" s="62">
        <v>1745566.1126019005</v>
      </c>
    </row>
    <row r="99" spans="1:14" x14ac:dyDescent="0.3">
      <c r="A99" s="51">
        <v>98</v>
      </c>
      <c r="B99" s="52">
        <v>7.0000000000000007E-2</v>
      </c>
      <c r="C99" s="52">
        <v>-0.06</v>
      </c>
      <c r="D99" s="52">
        <v>0.06</v>
      </c>
      <c r="E99" s="52">
        <v>0.01</v>
      </c>
      <c r="F99" s="52">
        <v>-0.01</v>
      </c>
      <c r="G99" s="52">
        <v>0.01</v>
      </c>
      <c r="H99" s="52">
        <v>0.05</v>
      </c>
      <c r="I99" s="52">
        <v>0.04</v>
      </c>
      <c r="J99" s="53">
        <v>-0.02</v>
      </c>
      <c r="K99" s="62">
        <v>2149621.6561319893</v>
      </c>
      <c r="L99" s="62">
        <v>2149621.6561319893</v>
      </c>
      <c r="M99" s="62">
        <v>2157878.6026667873</v>
      </c>
      <c r="N99" s="62">
        <v>1811761.4815772409</v>
      </c>
    </row>
    <row r="100" spans="1:14" x14ac:dyDescent="0.3">
      <c r="A100" s="51">
        <v>99</v>
      </c>
      <c r="B100" s="52">
        <v>0.01</v>
      </c>
      <c r="C100" s="52">
        <v>-0.02</v>
      </c>
      <c r="D100" s="52">
        <v>-0.02</v>
      </c>
      <c r="E100" s="52">
        <v>0.04</v>
      </c>
      <c r="F100" s="52">
        <v>7.0000000000000007E-2</v>
      </c>
      <c r="G100" s="52">
        <v>-0.01</v>
      </c>
      <c r="H100" s="52">
        <v>7.0000000000000007E-2</v>
      </c>
      <c r="I100" s="52">
        <v>0.04</v>
      </c>
      <c r="J100" s="53">
        <v>7.0000000000000007E-2</v>
      </c>
      <c r="K100" s="62">
        <v>1596526.5435606912</v>
      </c>
      <c r="L100" s="62">
        <v>1596526.5435606912</v>
      </c>
      <c r="M100" s="62">
        <v>1581892.1241969401</v>
      </c>
      <c r="N100" s="62">
        <v>1711504.9974954007</v>
      </c>
    </row>
    <row r="101" spans="1:14" x14ac:dyDescent="0.3">
      <c r="A101" s="54">
        <v>100</v>
      </c>
      <c r="B101" s="55">
        <v>-0.01</v>
      </c>
      <c r="C101" s="55">
        <v>-0.01</v>
      </c>
      <c r="D101" s="55">
        <v>0.02</v>
      </c>
      <c r="E101" s="55">
        <v>0.02</v>
      </c>
      <c r="F101" s="55">
        <v>-0.02</v>
      </c>
      <c r="G101" s="55">
        <v>0.02</v>
      </c>
      <c r="H101" s="55">
        <v>0.02</v>
      </c>
      <c r="I101" s="55">
        <v>-0.03</v>
      </c>
      <c r="J101" s="56">
        <v>0.06</v>
      </c>
      <c r="K101" s="62">
        <v>1836503.5390253048</v>
      </c>
      <c r="L101" s="62">
        <v>1836503.5390253048</v>
      </c>
      <c r="M101" s="62">
        <v>1848443.1883409515</v>
      </c>
      <c r="N101" s="62">
        <v>1749688.8714241509</v>
      </c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2021 Income Statement2</vt:lpstr>
      <vt:lpstr>2021 Income_Original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Nyoumssi Junior</cp:lastModifiedBy>
  <dcterms:created xsi:type="dcterms:W3CDTF">2021-09-19T01:10:25Z</dcterms:created>
  <dcterms:modified xsi:type="dcterms:W3CDTF">2026-10-12T10:09:30Z</dcterms:modified>
</cp:coreProperties>
</file>